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cli\"/>
    </mc:Choice>
  </mc:AlternateContent>
  <xr:revisionPtr revIDLastSave="0" documentId="13_ncr:1_{7F249BDA-68B5-4579-ABDF-EBCA81EE5AA6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E4" i="1"/>
  <c r="F3" i="1"/>
  <c r="E3" i="1"/>
  <c r="F2" i="1"/>
  <c r="E2" i="1"/>
  <c r="O7" i="1"/>
  <c r="O22" i="1" s="1"/>
  <c r="K14" i="1"/>
  <c r="K26" i="1"/>
  <c r="K18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<sst xmlns="http://schemas.openxmlformats.org/spreadsheetml/2006/main" count="47" uniqueCount="44">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</sst>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M6" sqref="M6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97.15</v>
      </c>
      <c r="D2">
        <v>1.0753844499408539E-4</v>
      </c>
      <c r="E2" s="2">
        <f>IF(C2="","",_xlfn.RANK.AVG(C2,C$2:C$56,1))</f>
        <v>2</v>
      </c>
      <c r="F2" s="2">
        <f t="shared" ref="F2:F56" si="0">IF(D2="","",_xlfn.RANK.AVG(D2,D$2:D$56,1))</f>
        <v>1</v>
      </c>
      <c r="G2" s="2">
        <f>IF(C2="","",E2-F2)</f>
        <v>1</v>
      </c>
      <c r="H2" s="2">
        <f>IF(C2="","",G2^2)</f>
        <v>1</v>
      </c>
      <c r="M2" s="7" t="s">
        <v>36</v>
      </c>
    </row>
    <row r="3" spans="1:15" x14ac:dyDescent="0.35">
      <c r="A3" s="4">
        <v>2</v>
      </c>
      <c r="B3" s="4">
        <v>50</v>
      </c>
      <c r="C3" s="2">
        <v>97.14</v>
      </c>
      <c r="D3">
        <v>4.9467684697279274E-3</v>
      </c>
      <c r="E3" s="2">
        <f t="shared" ref="E3:E56" si="1">IF(C3="","",_xlfn.RANK.AVG(C3,C$2:C$56,1))</f>
        <v>1</v>
      </c>
      <c r="F3" s="2">
        <f t="shared" si="0"/>
        <v>3</v>
      </c>
      <c r="G3" s="2">
        <f t="shared" ref="G3:G56" si="2">IF(C3="","",E3-F3)</f>
        <v>-2</v>
      </c>
      <c r="H3" s="2">
        <f t="shared" ref="H3:H56" si="3">IF(C3="","",G3^2)</f>
        <v>4</v>
      </c>
      <c r="M3" s="1" t="s">
        <v>37</v>
      </c>
    </row>
    <row r="4" spans="1:15" x14ac:dyDescent="0.35">
      <c r="A4" s="4">
        <v>5</v>
      </c>
      <c r="B4" s="4">
        <v>80</v>
      </c>
      <c r="C4" s="2">
        <v>97.46</v>
      </c>
      <c r="D4">
        <v>2.3658457898698784E-3</v>
      </c>
      <c r="E4" s="2">
        <f t="shared" si="1"/>
        <v>3</v>
      </c>
      <c r="F4" s="2">
        <f t="shared" si="0"/>
        <v>2</v>
      </c>
      <c r="G4" s="2">
        <f t="shared" si="2"/>
        <v>1</v>
      </c>
      <c r="H4" s="2">
        <f t="shared" si="3"/>
        <v>1</v>
      </c>
    </row>
    <row r="5" spans="1:15" x14ac:dyDescent="0.35">
      <c r="A5" s="4">
        <v>1</v>
      </c>
      <c r="B5" s="4">
        <v>15</v>
      </c>
      <c r="C5" s="2"/>
      <c r="D5" s="2"/>
      <c r="E5" s="2" t="str">
        <f t="shared" si="1"/>
        <v/>
      </c>
      <c r="F5" s="2" t="str">
        <f t="shared" si="0"/>
        <v/>
      </c>
      <c r="G5" s="2" t="str">
        <f t="shared" si="2"/>
        <v/>
      </c>
      <c r="H5" s="2" t="str">
        <f t="shared" si="3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 t="shared" si="1"/>
        <v/>
      </c>
      <c r="F6" s="2" t="str">
        <f t="shared" si="0"/>
        <v/>
      </c>
      <c r="G6" s="2" t="str">
        <f t="shared" si="2"/>
        <v/>
      </c>
      <c r="H6" s="2" t="str">
        <f t="shared" si="3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 t="shared" si="1"/>
        <v/>
      </c>
      <c r="F7" s="2" t="str">
        <f t="shared" si="0"/>
        <v/>
      </c>
      <c r="G7" s="2" t="str">
        <f t="shared" si="2"/>
        <v/>
      </c>
      <c r="H7" s="2" t="str">
        <f t="shared" si="3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 t="shared" si="1"/>
        <v/>
      </c>
      <c r="F8" s="2" t="str">
        <f t="shared" si="0"/>
        <v/>
      </c>
      <c r="G8" s="2" t="str">
        <f t="shared" si="2"/>
        <v/>
      </c>
      <c r="H8" s="2" t="str">
        <f t="shared" si="3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 t="shared" si="1"/>
        <v/>
      </c>
      <c r="F9" s="2" t="str">
        <f t="shared" si="0"/>
        <v/>
      </c>
      <c r="G9" s="2" t="str">
        <f t="shared" si="2"/>
        <v/>
      </c>
      <c r="H9" s="2" t="str">
        <f t="shared" si="3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 t="shared" si="1"/>
        <v/>
      </c>
      <c r="F10" s="2" t="str">
        <f t="shared" si="0"/>
        <v/>
      </c>
      <c r="G10" s="2" t="str">
        <f t="shared" si="2"/>
        <v/>
      </c>
      <c r="H10" s="2" t="str">
        <f t="shared" si="3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 t="shared" si="1"/>
        <v/>
      </c>
      <c r="F11" s="2" t="str">
        <f t="shared" si="0"/>
        <v/>
      </c>
      <c r="G11" s="2" t="str">
        <f t="shared" si="2"/>
        <v/>
      </c>
      <c r="H11" s="2" t="str">
        <f t="shared" si="3"/>
        <v/>
      </c>
    </row>
    <row r="12" spans="1:15" x14ac:dyDescent="0.35">
      <c r="A12" s="4">
        <v>1</v>
      </c>
      <c r="B12" s="4"/>
      <c r="C12" s="2"/>
      <c r="D12" s="2"/>
      <c r="E12" s="2" t="str">
        <f t="shared" si="1"/>
        <v/>
      </c>
      <c r="F12" s="2" t="str">
        <f t="shared" si="0"/>
        <v/>
      </c>
      <c r="G12" s="2" t="str">
        <f t="shared" si="2"/>
        <v/>
      </c>
      <c r="H12" s="2" t="str">
        <f t="shared" si="3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 t="shared" si="1"/>
        <v/>
      </c>
      <c r="F13" s="2" t="str">
        <f t="shared" si="0"/>
        <v/>
      </c>
      <c r="G13" s="2" t="str">
        <f t="shared" si="2"/>
        <v/>
      </c>
      <c r="H13" s="2" t="str">
        <f t="shared" si="3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 t="shared" si="1"/>
        <v/>
      </c>
      <c r="F14" s="2" t="str">
        <f t="shared" si="0"/>
        <v/>
      </c>
      <c r="G14" s="2" t="str">
        <f t="shared" si="2"/>
        <v/>
      </c>
      <c r="H14" s="2" t="str">
        <f t="shared" si="3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-0.5</v>
      </c>
    </row>
    <row r="15" spans="1:15" x14ac:dyDescent="0.35">
      <c r="A15" s="4">
        <v>1</v>
      </c>
      <c r="B15" s="4">
        <v>40</v>
      </c>
      <c r="C15" s="2"/>
      <c r="D15" s="2"/>
      <c r="E15" s="2" t="str">
        <f t="shared" si="1"/>
        <v/>
      </c>
      <c r="F15" s="2" t="str">
        <f t="shared" si="0"/>
        <v/>
      </c>
      <c r="G15" s="2" t="str">
        <f t="shared" si="2"/>
        <v/>
      </c>
      <c r="H15" s="2" t="str">
        <f t="shared" si="3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 t="shared" si="1"/>
        <v/>
      </c>
      <c r="F16" s="2" t="str">
        <f t="shared" si="0"/>
        <v/>
      </c>
      <c r="G16" s="2" t="str">
        <f t="shared" si="2"/>
        <v/>
      </c>
      <c r="H16" s="2" t="str">
        <f t="shared" si="3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 t="shared" si="1"/>
        <v/>
      </c>
      <c r="F17" s="2" t="str">
        <f t="shared" si="0"/>
        <v/>
      </c>
      <c r="G17" s="2" t="str">
        <f t="shared" si="2"/>
        <v/>
      </c>
      <c r="H17" s="2" t="str">
        <f t="shared" si="3"/>
        <v/>
      </c>
    </row>
    <row r="18" spans="1:16" x14ac:dyDescent="0.35">
      <c r="A18" s="4"/>
      <c r="B18" s="4"/>
      <c r="C18" s="2"/>
      <c r="D18" s="2"/>
      <c r="E18" s="2" t="str">
        <f t="shared" si="1"/>
        <v/>
      </c>
      <c r="F18" s="2" t="str">
        <f t="shared" si="0"/>
        <v/>
      </c>
      <c r="G18" s="2" t="str">
        <f t="shared" si="2"/>
        <v/>
      </c>
      <c r="H18" s="2" t="str">
        <f t="shared" si="3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>
        <f>O14*SQRT((O7-2)/(1-O14^2))</f>
        <v>-0.57735026918962573</v>
      </c>
    </row>
    <row r="19" spans="1:16" x14ac:dyDescent="0.35">
      <c r="A19" s="4">
        <v>3</v>
      </c>
      <c r="B19" s="4">
        <v>70</v>
      </c>
      <c r="C19" s="2"/>
      <c r="D19" s="2"/>
      <c r="E19" s="2" t="str">
        <f t="shared" si="1"/>
        <v/>
      </c>
      <c r="F19" s="2" t="str">
        <f t="shared" si="0"/>
        <v/>
      </c>
      <c r="G19" s="2" t="str">
        <f t="shared" si="2"/>
        <v/>
      </c>
      <c r="H19" s="2" t="str">
        <f t="shared" si="3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 t="shared" si="1"/>
        <v/>
      </c>
      <c r="F20" s="2" t="str">
        <f t="shared" si="0"/>
        <v/>
      </c>
      <c r="G20" s="2" t="str">
        <f t="shared" si="2"/>
        <v/>
      </c>
      <c r="H20" s="2" t="str">
        <f t="shared" si="3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 t="shared" si="1"/>
        <v/>
      </c>
      <c r="F21" s="2" t="str">
        <f t="shared" si="0"/>
        <v/>
      </c>
      <c r="G21" s="2" t="str">
        <f t="shared" si="2"/>
        <v/>
      </c>
      <c r="H21" s="2" t="str">
        <f t="shared" si="3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 t="shared" si="1"/>
        <v/>
      </c>
      <c r="F22" s="2" t="str">
        <f t="shared" si="0"/>
        <v/>
      </c>
      <c r="G22" s="2" t="str">
        <f t="shared" si="2"/>
        <v/>
      </c>
      <c r="H22" s="2" t="str">
        <f t="shared" si="3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 t="shared" si="1"/>
        <v/>
      </c>
      <c r="F23" s="2" t="str">
        <f t="shared" si="0"/>
        <v/>
      </c>
      <c r="G23" s="2" t="str">
        <f t="shared" si="2"/>
        <v/>
      </c>
      <c r="H23" s="2" t="str">
        <f t="shared" si="3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 t="shared" si="1"/>
        <v/>
      </c>
      <c r="F24" s="2" t="str">
        <f t="shared" si="0"/>
        <v/>
      </c>
      <c r="G24" s="2" t="str">
        <f t="shared" si="2"/>
        <v/>
      </c>
      <c r="H24" s="2" t="str">
        <f t="shared" si="3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>
        <f>_xlfn.T.DIST.2T(ABS(O18),O22)</f>
        <v>0.66666666666666663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>
        <f>TDIST(ABS(O18),O22,2)</f>
        <v>0.66666666666666663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>
        <f>2*(1-_xlfn.T.DIST(ABS(O18),O22,TRUE))</f>
        <v>0.66666666666666652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35">
      <c r="A32" s="4">
        <v>1</v>
      </c>
      <c r="B32" s="4"/>
      <c r="C32" s="2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5</v>
      </c>
      <c r="O40" s="2">
        <f>6*SUM(H:H)/(O7*(O7^2-1))</f>
        <v>1.5</v>
      </c>
    </row>
    <row r="41" spans="1:15" x14ac:dyDescent="0.35">
      <c r="A41" s="4">
        <v>1</v>
      </c>
      <c r="B41" s="4"/>
      <c r="C41" s="2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2019-04-13T06:26:40Z</dcterms:modified>
</cp:coreProperties>
</file>