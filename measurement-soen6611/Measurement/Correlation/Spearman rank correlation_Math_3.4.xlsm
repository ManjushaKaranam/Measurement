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\"/>
    </mc:Choice>
  </mc:AlternateContent>
  <xr:revisionPtr revIDLastSave="0" documentId="13_ncr:1_{82ABD931-5B41-4551-BBD7-BCF6282952D6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" l="1"/>
  <c r="K26" i="1"/>
  <c r="K22" i="1"/>
  <c r="K18" i="1"/>
  <c r="K14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2" i="1"/>
  <c r="H156" i="1"/>
  <c r="H172" i="1"/>
  <c r="H279" i="1"/>
  <c r="H300" i="1"/>
  <c r="H512" i="1"/>
  <c r="H576" i="1"/>
  <c r="H640" i="1"/>
  <c r="H704" i="1"/>
  <c r="H736" i="1"/>
  <c r="H768" i="1"/>
  <c r="H784" i="1"/>
  <c r="H816" i="1"/>
  <c r="H848" i="1"/>
  <c r="H864" i="1"/>
  <c r="H872" i="1"/>
  <c r="H896" i="1"/>
  <c r="H904" i="1"/>
  <c r="H928" i="1"/>
  <c r="H960" i="1"/>
  <c r="H981" i="1"/>
  <c r="H984" i="1"/>
  <c r="H57" i="1"/>
  <c r="H59" i="1"/>
  <c r="H60" i="1"/>
  <c r="H61" i="1"/>
  <c r="H63" i="1"/>
  <c r="H64" i="1"/>
  <c r="H65" i="1"/>
  <c r="H67" i="1"/>
  <c r="H68" i="1"/>
  <c r="H69" i="1"/>
  <c r="H71" i="1"/>
  <c r="H72" i="1"/>
  <c r="H73" i="1"/>
  <c r="H75" i="1"/>
  <c r="H76" i="1"/>
  <c r="H77" i="1"/>
  <c r="H79" i="1"/>
  <c r="H80" i="1"/>
  <c r="H81" i="1"/>
  <c r="H83" i="1"/>
  <c r="H84" i="1"/>
  <c r="H85" i="1"/>
  <c r="H87" i="1"/>
  <c r="H88" i="1"/>
  <c r="H89" i="1"/>
  <c r="H91" i="1"/>
  <c r="H92" i="1"/>
  <c r="H93" i="1"/>
  <c r="H95" i="1"/>
  <c r="H96" i="1"/>
  <c r="H97" i="1"/>
  <c r="H99" i="1"/>
  <c r="H100" i="1"/>
  <c r="H101" i="1"/>
  <c r="H103" i="1"/>
  <c r="H104" i="1"/>
  <c r="H105" i="1"/>
  <c r="H107" i="1"/>
  <c r="H108" i="1"/>
  <c r="H109" i="1"/>
  <c r="H111" i="1"/>
  <c r="H112" i="1"/>
  <c r="H113" i="1"/>
  <c r="H115" i="1"/>
  <c r="H116" i="1"/>
  <c r="H117" i="1"/>
  <c r="H119" i="1"/>
  <c r="H120" i="1"/>
  <c r="H121" i="1"/>
  <c r="H123" i="1"/>
  <c r="H124" i="1"/>
  <c r="H125" i="1"/>
  <c r="H127" i="1"/>
  <c r="H128" i="1"/>
  <c r="H129" i="1"/>
  <c r="H131" i="1"/>
  <c r="H132" i="1"/>
  <c r="H133" i="1"/>
  <c r="H135" i="1"/>
  <c r="H136" i="1"/>
  <c r="H137" i="1"/>
  <c r="H139" i="1"/>
  <c r="H140" i="1"/>
  <c r="H141" i="1"/>
  <c r="H143" i="1"/>
  <c r="H144" i="1"/>
  <c r="H145" i="1"/>
  <c r="H147" i="1"/>
  <c r="H148" i="1"/>
  <c r="H149" i="1"/>
  <c r="H151" i="1"/>
  <c r="H152" i="1"/>
  <c r="H153" i="1"/>
  <c r="H155" i="1"/>
  <c r="H157" i="1"/>
  <c r="H159" i="1"/>
  <c r="H160" i="1"/>
  <c r="H161" i="1"/>
  <c r="H163" i="1"/>
  <c r="H164" i="1"/>
  <c r="H165" i="1"/>
  <c r="H167" i="1"/>
  <c r="H168" i="1"/>
  <c r="H169" i="1"/>
  <c r="H171" i="1"/>
  <c r="H173" i="1"/>
  <c r="H175" i="1"/>
  <c r="H176" i="1"/>
  <c r="H177" i="1"/>
  <c r="H179" i="1"/>
  <c r="H180" i="1"/>
  <c r="H181" i="1"/>
  <c r="H183" i="1"/>
  <c r="H184" i="1"/>
  <c r="H185" i="1"/>
  <c r="H187" i="1"/>
  <c r="H188" i="1"/>
  <c r="H189" i="1"/>
  <c r="H191" i="1"/>
  <c r="H192" i="1"/>
  <c r="H193" i="1"/>
  <c r="H195" i="1"/>
  <c r="H196" i="1"/>
  <c r="H197" i="1"/>
  <c r="H199" i="1"/>
  <c r="H200" i="1"/>
  <c r="H201" i="1"/>
  <c r="H203" i="1"/>
  <c r="H204" i="1"/>
  <c r="H205" i="1"/>
  <c r="H207" i="1"/>
  <c r="H208" i="1"/>
  <c r="H209" i="1"/>
  <c r="H211" i="1"/>
  <c r="H212" i="1"/>
  <c r="H213" i="1"/>
  <c r="H215" i="1"/>
  <c r="H216" i="1"/>
  <c r="H217" i="1"/>
  <c r="H219" i="1"/>
  <c r="H220" i="1"/>
  <c r="H221" i="1"/>
  <c r="H223" i="1"/>
  <c r="H224" i="1"/>
  <c r="H225" i="1"/>
  <c r="H227" i="1"/>
  <c r="H228" i="1"/>
  <c r="H229" i="1"/>
  <c r="H231" i="1"/>
  <c r="H232" i="1"/>
  <c r="H233" i="1"/>
  <c r="H235" i="1"/>
  <c r="H236" i="1"/>
  <c r="H237" i="1"/>
  <c r="H239" i="1"/>
  <c r="H240" i="1"/>
  <c r="H241" i="1"/>
  <c r="H243" i="1"/>
  <c r="H244" i="1"/>
  <c r="H245" i="1"/>
  <c r="H247" i="1"/>
  <c r="H248" i="1"/>
  <c r="H249" i="1"/>
  <c r="H251" i="1"/>
  <c r="H252" i="1"/>
  <c r="H253" i="1"/>
  <c r="H255" i="1"/>
  <c r="H256" i="1"/>
  <c r="H257" i="1"/>
  <c r="H259" i="1"/>
  <c r="H260" i="1"/>
  <c r="H261" i="1"/>
  <c r="H263" i="1"/>
  <c r="H264" i="1"/>
  <c r="H265" i="1"/>
  <c r="H267" i="1"/>
  <c r="H268" i="1"/>
  <c r="H269" i="1"/>
  <c r="H271" i="1"/>
  <c r="H272" i="1"/>
  <c r="H273" i="1"/>
  <c r="H275" i="1"/>
  <c r="H276" i="1"/>
  <c r="H277" i="1"/>
  <c r="H280" i="1"/>
  <c r="H281" i="1"/>
  <c r="H283" i="1"/>
  <c r="H284" i="1"/>
  <c r="H285" i="1"/>
  <c r="H287" i="1"/>
  <c r="H288" i="1"/>
  <c r="H289" i="1"/>
  <c r="H291" i="1"/>
  <c r="H292" i="1"/>
  <c r="H293" i="1"/>
  <c r="H295" i="1"/>
  <c r="H296" i="1"/>
  <c r="H297" i="1"/>
  <c r="H299" i="1"/>
  <c r="H301" i="1"/>
  <c r="H303" i="1"/>
  <c r="H304" i="1"/>
  <c r="H305" i="1"/>
  <c r="H307" i="1"/>
  <c r="H308" i="1"/>
  <c r="H309" i="1"/>
  <c r="H311" i="1"/>
  <c r="H312" i="1"/>
  <c r="H313" i="1"/>
  <c r="H315" i="1"/>
  <c r="H316" i="1"/>
  <c r="H317" i="1"/>
  <c r="H319" i="1"/>
  <c r="H320" i="1"/>
  <c r="H321" i="1"/>
  <c r="H323" i="1"/>
  <c r="H324" i="1"/>
  <c r="H325" i="1"/>
  <c r="H327" i="1"/>
  <c r="H328" i="1"/>
  <c r="H329" i="1"/>
  <c r="H331" i="1"/>
  <c r="H332" i="1"/>
  <c r="H333" i="1"/>
  <c r="H335" i="1"/>
  <c r="H336" i="1"/>
  <c r="H337" i="1"/>
  <c r="H339" i="1"/>
  <c r="H340" i="1"/>
  <c r="H341" i="1"/>
  <c r="H343" i="1"/>
  <c r="H344" i="1"/>
  <c r="H345" i="1"/>
  <c r="H347" i="1"/>
  <c r="H348" i="1"/>
  <c r="H349" i="1"/>
  <c r="H351" i="1"/>
  <c r="H352" i="1"/>
  <c r="H353" i="1"/>
  <c r="H355" i="1"/>
  <c r="H356" i="1"/>
  <c r="H357" i="1"/>
  <c r="H359" i="1"/>
  <c r="H360" i="1"/>
  <c r="H361" i="1"/>
  <c r="H363" i="1"/>
  <c r="H364" i="1"/>
  <c r="H365" i="1"/>
  <c r="H367" i="1"/>
  <c r="H368" i="1"/>
  <c r="H369" i="1"/>
  <c r="H371" i="1"/>
  <c r="H372" i="1"/>
  <c r="H373" i="1"/>
  <c r="H375" i="1"/>
  <c r="H376" i="1"/>
  <c r="H377" i="1"/>
  <c r="H379" i="1"/>
  <c r="H380" i="1"/>
  <c r="H381" i="1"/>
  <c r="H383" i="1"/>
  <c r="H384" i="1"/>
  <c r="H385" i="1"/>
  <c r="H387" i="1"/>
  <c r="H388" i="1"/>
  <c r="H389" i="1"/>
  <c r="H391" i="1"/>
  <c r="H392" i="1"/>
  <c r="H393" i="1"/>
  <c r="H395" i="1"/>
  <c r="H396" i="1"/>
  <c r="H397" i="1"/>
  <c r="H399" i="1"/>
  <c r="H400" i="1"/>
  <c r="H401" i="1"/>
  <c r="H403" i="1"/>
  <c r="H404" i="1"/>
  <c r="H405" i="1"/>
  <c r="H407" i="1"/>
  <c r="H408" i="1"/>
  <c r="H409" i="1"/>
  <c r="H411" i="1"/>
  <c r="H412" i="1"/>
  <c r="H413" i="1"/>
  <c r="H415" i="1"/>
  <c r="H416" i="1"/>
  <c r="H417" i="1"/>
  <c r="H419" i="1"/>
  <c r="H420" i="1"/>
  <c r="H421" i="1"/>
  <c r="H423" i="1"/>
  <c r="H424" i="1"/>
  <c r="H425" i="1"/>
  <c r="H427" i="1"/>
  <c r="H428" i="1"/>
  <c r="H429" i="1"/>
  <c r="H431" i="1"/>
  <c r="H432" i="1"/>
  <c r="H433" i="1"/>
  <c r="H435" i="1"/>
  <c r="H436" i="1"/>
  <c r="H437" i="1"/>
  <c r="H439" i="1"/>
  <c r="H440" i="1"/>
  <c r="H441" i="1"/>
  <c r="H443" i="1"/>
  <c r="H444" i="1"/>
  <c r="H445" i="1"/>
  <c r="H447" i="1"/>
  <c r="H448" i="1"/>
  <c r="H449" i="1"/>
  <c r="H451" i="1"/>
  <c r="H452" i="1"/>
  <c r="H453" i="1"/>
  <c r="H455" i="1"/>
  <c r="H456" i="1"/>
  <c r="H457" i="1"/>
  <c r="H459" i="1"/>
  <c r="H460" i="1"/>
  <c r="H461" i="1"/>
  <c r="H463" i="1"/>
  <c r="H464" i="1"/>
  <c r="H465" i="1"/>
  <c r="H467" i="1"/>
  <c r="H468" i="1"/>
  <c r="H469" i="1"/>
  <c r="H471" i="1"/>
  <c r="H472" i="1"/>
  <c r="H473" i="1"/>
  <c r="H475" i="1"/>
  <c r="H476" i="1"/>
  <c r="H477" i="1"/>
  <c r="H479" i="1"/>
  <c r="H480" i="1"/>
  <c r="H481" i="1"/>
  <c r="H483" i="1"/>
  <c r="H484" i="1"/>
  <c r="H485" i="1"/>
  <c r="H487" i="1"/>
  <c r="H488" i="1"/>
  <c r="H489" i="1"/>
  <c r="H491" i="1"/>
  <c r="H492" i="1"/>
  <c r="H493" i="1"/>
  <c r="H495" i="1"/>
  <c r="H496" i="1"/>
  <c r="H497" i="1"/>
  <c r="H499" i="1"/>
  <c r="H500" i="1"/>
  <c r="H501" i="1"/>
  <c r="H503" i="1"/>
  <c r="H504" i="1"/>
  <c r="H505" i="1"/>
  <c r="H507" i="1"/>
  <c r="H508" i="1"/>
  <c r="H509" i="1"/>
  <c r="H511" i="1"/>
  <c r="H513" i="1"/>
  <c r="H515" i="1"/>
  <c r="H516" i="1"/>
  <c r="H517" i="1"/>
  <c r="H519" i="1"/>
  <c r="H520" i="1"/>
  <c r="H521" i="1"/>
  <c r="H523" i="1"/>
  <c r="H524" i="1"/>
  <c r="H525" i="1"/>
  <c r="H527" i="1"/>
  <c r="H528" i="1"/>
  <c r="H529" i="1"/>
  <c r="H531" i="1"/>
  <c r="H532" i="1"/>
  <c r="H533" i="1"/>
  <c r="H535" i="1"/>
  <c r="H536" i="1"/>
  <c r="H537" i="1"/>
  <c r="H539" i="1"/>
  <c r="H540" i="1"/>
  <c r="H541" i="1"/>
  <c r="H543" i="1"/>
  <c r="H544" i="1"/>
  <c r="H545" i="1"/>
  <c r="H547" i="1"/>
  <c r="H548" i="1"/>
  <c r="H549" i="1"/>
  <c r="H551" i="1"/>
  <c r="H552" i="1"/>
  <c r="H553" i="1"/>
  <c r="H555" i="1"/>
  <c r="H556" i="1"/>
  <c r="H557" i="1"/>
  <c r="H559" i="1"/>
  <c r="H560" i="1"/>
  <c r="H561" i="1"/>
  <c r="H563" i="1"/>
  <c r="H564" i="1"/>
  <c r="H565" i="1"/>
  <c r="H567" i="1"/>
  <c r="H568" i="1"/>
  <c r="H569" i="1"/>
  <c r="H571" i="1"/>
  <c r="H572" i="1"/>
  <c r="H573" i="1"/>
  <c r="H575" i="1"/>
  <c r="H577" i="1"/>
  <c r="H579" i="1"/>
  <c r="H580" i="1"/>
  <c r="H581" i="1"/>
  <c r="H583" i="1"/>
  <c r="H584" i="1"/>
  <c r="H585" i="1"/>
  <c r="H587" i="1"/>
  <c r="H588" i="1"/>
  <c r="H589" i="1"/>
  <c r="H591" i="1"/>
  <c r="H592" i="1"/>
  <c r="H593" i="1"/>
  <c r="H595" i="1"/>
  <c r="H596" i="1"/>
  <c r="H597" i="1"/>
  <c r="H599" i="1"/>
  <c r="H600" i="1"/>
  <c r="H601" i="1"/>
  <c r="H603" i="1"/>
  <c r="H604" i="1"/>
  <c r="H605" i="1"/>
  <c r="H607" i="1"/>
  <c r="H608" i="1"/>
  <c r="H609" i="1"/>
  <c r="H611" i="1"/>
  <c r="H612" i="1"/>
  <c r="H613" i="1"/>
  <c r="H615" i="1"/>
  <c r="H616" i="1"/>
  <c r="H617" i="1"/>
  <c r="H619" i="1"/>
  <c r="H620" i="1"/>
  <c r="H621" i="1"/>
  <c r="H623" i="1"/>
  <c r="H624" i="1"/>
  <c r="H625" i="1"/>
  <c r="H627" i="1"/>
  <c r="H628" i="1"/>
  <c r="H629" i="1"/>
  <c r="H631" i="1"/>
  <c r="H632" i="1"/>
  <c r="H633" i="1"/>
  <c r="H635" i="1"/>
  <c r="H636" i="1"/>
  <c r="H637" i="1"/>
  <c r="H639" i="1"/>
  <c r="H641" i="1"/>
  <c r="H643" i="1"/>
  <c r="H644" i="1"/>
  <c r="H645" i="1"/>
  <c r="H647" i="1"/>
  <c r="H648" i="1"/>
  <c r="H649" i="1"/>
  <c r="H651" i="1"/>
  <c r="H652" i="1"/>
  <c r="H653" i="1"/>
  <c r="H655" i="1"/>
  <c r="H656" i="1"/>
  <c r="H657" i="1"/>
  <c r="H659" i="1"/>
  <c r="H660" i="1"/>
  <c r="H661" i="1"/>
  <c r="H663" i="1"/>
  <c r="H664" i="1"/>
  <c r="H665" i="1"/>
  <c r="H667" i="1"/>
  <c r="H668" i="1"/>
  <c r="H669" i="1"/>
  <c r="H671" i="1"/>
  <c r="H672" i="1"/>
  <c r="H673" i="1"/>
  <c r="H675" i="1"/>
  <c r="H676" i="1"/>
  <c r="H677" i="1"/>
  <c r="H679" i="1"/>
  <c r="H680" i="1"/>
  <c r="H681" i="1"/>
  <c r="H683" i="1"/>
  <c r="H684" i="1"/>
  <c r="H685" i="1"/>
  <c r="H687" i="1"/>
  <c r="H688" i="1"/>
  <c r="H689" i="1"/>
  <c r="H691" i="1"/>
  <c r="H692" i="1"/>
  <c r="H693" i="1"/>
  <c r="H695" i="1"/>
  <c r="H696" i="1"/>
  <c r="H697" i="1"/>
  <c r="H699" i="1"/>
  <c r="H700" i="1"/>
  <c r="H701" i="1"/>
  <c r="H703" i="1"/>
  <c r="H705" i="1"/>
  <c r="H707" i="1"/>
  <c r="H708" i="1"/>
  <c r="H709" i="1"/>
  <c r="H711" i="1"/>
  <c r="H712" i="1"/>
  <c r="H713" i="1"/>
  <c r="H715" i="1"/>
  <c r="H716" i="1"/>
  <c r="H717" i="1"/>
  <c r="H719" i="1"/>
  <c r="H720" i="1"/>
  <c r="H721" i="1"/>
  <c r="H723" i="1"/>
  <c r="H724" i="1"/>
  <c r="H725" i="1"/>
  <c r="H727" i="1"/>
  <c r="H728" i="1"/>
  <c r="H729" i="1"/>
  <c r="H731" i="1"/>
  <c r="H732" i="1"/>
  <c r="H733" i="1"/>
  <c r="H735" i="1"/>
  <c r="H737" i="1"/>
  <c r="H739" i="1"/>
  <c r="H740" i="1"/>
  <c r="H741" i="1"/>
  <c r="H743" i="1"/>
  <c r="H744" i="1"/>
  <c r="H745" i="1"/>
  <c r="H747" i="1"/>
  <c r="H748" i="1"/>
  <c r="H749" i="1"/>
  <c r="H751" i="1"/>
  <c r="H752" i="1"/>
  <c r="H753" i="1"/>
  <c r="H755" i="1"/>
  <c r="H756" i="1"/>
  <c r="H757" i="1"/>
  <c r="H759" i="1"/>
  <c r="H760" i="1"/>
  <c r="H761" i="1"/>
  <c r="H763" i="1"/>
  <c r="H764" i="1"/>
  <c r="H765" i="1"/>
  <c r="H767" i="1"/>
  <c r="H769" i="1"/>
  <c r="H771" i="1"/>
  <c r="H772" i="1"/>
  <c r="H773" i="1"/>
  <c r="H775" i="1"/>
  <c r="H776" i="1"/>
  <c r="H777" i="1"/>
  <c r="H779" i="1"/>
  <c r="H780" i="1"/>
  <c r="H781" i="1"/>
  <c r="H783" i="1"/>
  <c r="H785" i="1"/>
  <c r="H787" i="1"/>
  <c r="H788" i="1"/>
  <c r="H789" i="1"/>
  <c r="H791" i="1"/>
  <c r="H792" i="1"/>
  <c r="H793" i="1"/>
  <c r="H795" i="1"/>
  <c r="H796" i="1"/>
  <c r="H797" i="1"/>
  <c r="H799" i="1"/>
  <c r="H800" i="1"/>
  <c r="H801" i="1"/>
  <c r="H803" i="1"/>
  <c r="H804" i="1"/>
  <c r="H805" i="1"/>
  <c r="H807" i="1"/>
  <c r="H808" i="1"/>
  <c r="H809" i="1"/>
  <c r="H811" i="1"/>
  <c r="H812" i="1"/>
  <c r="H813" i="1"/>
  <c r="H815" i="1"/>
  <c r="H817" i="1"/>
  <c r="H819" i="1"/>
  <c r="H820" i="1"/>
  <c r="H821" i="1"/>
  <c r="H823" i="1"/>
  <c r="H824" i="1"/>
  <c r="H825" i="1"/>
  <c r="H827" i="1"/>
  <c r="H828" i="1"/>
  <c r="H829" i="1"/>
  <c r="H831" i="1"/>
  <c r="H832" i="1"/>
  <c r="H833" i="1"/>
  <c r="H835" i="1"/>
  <c r="H836" i="1"/>
  <c r="H837" i="1"/>
  <c r="H839" i="1"/>
  <c r="H840" i="1"/>
  <c r="H841" i="1"/>
  <c r="H843" i="1"/>
  <c r="H844" i="1"/>
  <c r="H845" i="1"/>
  <c r="H847" i="1"/>
  <c r="H849" i="1"/>
  <c r="H851" i="1"/>
  <c r="H852" i="1"/>
  <c r="H853" i="1"/>
  <c r="H855" i="1"/>
  <c r="H856" i="1"/>
  <c r="H857" i="1"/>
  <c r="H859" i="1"/>
  <c r="H860" i="1"/>
  <c r="H861" i="1"/>
  <c r="H863" i="1"/>
  <c r="H865" i="1"/>
  <c r="H867" i="1"/>
  <c r="H868" i="1"/>
  <c r="H869" i="1"/>
  <c r="H871" i="1"/>
  <c r="H873" i="1"/>
  <c r="H875" i="1"/>
  <c r="H876" i="1"/>
  <c r="H877" i="1"/>
  <c r="H879" i="1"/>
  <c r="H880" i="1"/>
  <c r="H881" i="1"/>
  <c r="H883" i="1"/>
  <c r="H884" i="1"/>
  <c r="H885" i="1"/>
  <c r="H887" i="1"/>
  <c r="H888" i="1"/>
  <c r="H889" i="1"/>
  <c r="H891" i="1"/>
  <c r="H892" i="1"/>
  <c r="H893" i="1"/>
  <c r="H895" i="1"/>
  <c r="H897" i="1"/>
  <c r="H899" i="1"/>
  <c r="H900" i="1"/>
  <c r="H901" i="1"/>
  <c r="H903" i="1"/>
  <c r="H905" i="1"/>
  <c r="H907" i="1"/>
  <c r="H908" i="1"/>
  <c r="H909" i="1"/>
  <c r="H911" i="1"/>
  <c r="H912" i="1"/>
  <c r="H913" i="1"/>
  <c r="H915" i="1"/>
  <c r="H916" i="1"/>
  <c r="H917" i="1"/>
  <c r="H919" i="1"/>
  <c r="H920" i="1"/>
  <c r="H921" i="1"/>
  <c r="H923" i="1"/>
  <c r="H924" i="1"/>
  <c r="H925" i="1"/>
  <c r="H927" i="1"/>
  <c r="H929" i="1"/>
  <c r="H931" i="1"/>
  <c r="H932" i="1"/>
  <c r="H933" i="1"/>
  <c r="H935" i="1"/>
  <c r="H936" i="1"/>
  <c r="H937" i="1"/>
  <c r="H939" i="1"/>
  <c r="H940" i="1"/>
  <c r="H941" i="1"/>
  <c r="H943" i="1"/>
  <c r="H944" i="1"/>
  <c r="H945" i="1"/>
  <c r="H947" i="1"/>
  <c r="H948" i="1"/>
  <c r="H949" i="1"/>
  <c r="H951" i="1"/>
  <c r="H952" i="1"/>
  <c r="H953" i="1"/>
  <c r="H955" i="1"/>
  <c r="H956" i="1"/>
  <c r="H957" i="1"/>
  <c r="H959" i="1"/>
  <c r="H961" i="1"/>
  <c r="H963" i="1"/>
  <c r="H964" i="1"/>
  <c r="H965" i="1"/>
  <c r="H967" i="1"/>
  <c r="H968" i="1"/>
  <c r="H969" i="1"/>
  <c r="H971" i="1"/>
  <c r="H972" i="1"/>
  <c r="H973" i="1"/>
  <c r="H975" i="1"/>
  <c r="H976" i="1"/>
  <c r="H977" i="1"/>
  <c r="H979" i="1"/>
  <c r="H980" i="1"/>
  <c r="H983" i="1"/>
  <c r="H985" i="1"/>
  <c r="H987" i="1"/>
  <c r="H988" i="1"/>
  <c r="H989" i="1"/>
  <c r="H991" i="1"/>
  <c r="H992" i="1"/>
  <c r="H993" i="1"/>
  <c r="H995" i="1"/>
  <c r="H996" i="1"/>
  <c r="H997" i="1"/>
  <c r="H999" i="1"/>
  <c r="H1000" i="1"/>
  <c r="H1001" i="1"/>
  <c r="H1003" i="1"/>
  <c r="O7" i="1"/>
  <c r="H1002" i="1" l="1"/>
  <c r="H998" i="1"/>
  <c r="H994" i="1"/>
  <c r="H990" i="1"/>
  <c r="H986" i="1"/>
  <c r="H982" i="1"/>
  <c r="H978" i="1"/>
  <c r="H974" i="1"/>
  <c r="H970" i="1"/>
  <c r="H966" i="1"/>
  <c r="H962" i="1"/>
  <c r="H958" i="1"/>
  <c r="H954" i="1"/>
  <c r="H950" i="1"/>
  <c r="H946" i="1"/>
  <c r="H942" i="1"/>
  <c r="H938" i="1"/>
  <c r="H934" i="1"/>
  <c r="H930" i="1"/>
  <c r="H926" i="1"/>
  <c r="H922" i="1"/>
  <c r="H918" i="1"/>
  <c r="H914" i="1"/>
  <c r="H910" i="1"/>
  <c r="H906" i="1"/>
  <c r="H902" i="1"/>
  <c r="H898" i="1"/>
  <c r="H894" i="1"/>
  <c r="H890" i="1"/>
  <c r="H886" i="1"/>
  <c r="H882" i="1"/>
  <c r="H878" i="1"/>
  <c r="H874" i="1"/>
  <c r="H870" i="1"/>
  <c r="H866" i="1"/>
  <c r="H862" i="1"/>
  <c r="H858" i="1"/>
  <c r="H854" i="1"/>
  <c r="H850" i="1"/>
  <c r="H846" i="1"/>
  <c r="H842" i="1"/>
  <c r="H838" i="1"/>
  <c r="H834" i="1"/>
  <c r="H830" i="1"/>
  <c r="H826" i="1"/>
  <c r="H822" i="1"/>
  <c r="H818" i="1"/>
  <c r="H814" i="1"/>
  <c r="H810" i="1"/>
  <c r="H806" i="1"/>
  <c r="H802" i="1"/>
  <c r="H798" i="1"/>
  <c r="H794" i="1"/>
  <c r="H790" i="1"/>
  <c r="H786" i="1"/>
  <c r="H782" i="1"/>
  <c r="H778" i="1"/>
  <c r="H774" i="1"/>
  <c r="H770" i="1"/>
  <c r="H766" i="1"/>
  <c r="H762" i="1"/>
  <c r="H758" i="1"/>
  <c r="H754" i="1"/>
  <c r="H750" i="1"/>
  <c r="H746" i="1"/>
  <c r="H742" i="1"/>
  <c r="H738" i="1"/>
  <c r="H734" i="1"/>
  <c r="H730" i="1"/>
  <c r="H726" i="1"/>
  <c r="H722" i="1"/>
  <c r="H718" i="1"/>
  <c r="H714" i="1"/>
  <c r="H710" i="1"/>
  <c r="H706" i="1"/>
  <c r="H702" i="1"/>
  <c r="H698" i="1"/>
  <c r="H694" i="1"/>
  <c r="H690" i="1"/>
  <c r="H686" i="1"/>
  <c r="H682" i="1"/>
  <c r="H678" i="1"/>
  <c r="H674" i="1"/>
  <c r="H670" i="1"/>
  <c r="H666" i="1"/>
  <c r="H662" i="1"/>
  <c r="H658" i="1"/>
  <c r="H654" i="1"/>
  <c r="H650" i="1"/>
  <c r="H646" i="1"/>
  <c r="H642" i="1"/>
  <c r="H638" i="1"/>
  <c r="H634" i="1"/>
  <c r="H630" i="1"/>
  <c r="H626" i="1"/>
  <c r="H622" i="1"/>
  <c r="H618" i="1"/>
  <c r="H614" i="1"/>
  <c r="H610" i="1"/>
  <c r="H606" i="1"/>
  <c r="H602" i="1"/>
  <c r="H598" i="1"/>
  <c r="H594" i="1"/>
  <c r="H590" i="1"/>
  <c r="H586" i="1"/>
  <c r="H582" i="1"/>
  <c r="H578" i="1"/>
  <c r="H574" i="1"/>
  <c r="H570" i="1"/>
  <c r="H566" i="1"/>
  <c r="H562" i="1"/>
  <c r="H558" i="1"/>
  <c r="H554" i="1"/>
  <c r="H550" i="1"/>
  <c r="H546" i="1"/>
  <c r="H542" i="1"/>
  <c r="H538" i="1"/>
  <c r="H534" i="1"/>
  <c r="H530" i="1"/>
  <c r="H526" i="1"/>
  <c r="H522" i="1"/>
  <c r="H518" i="1"/>
  <c r="H514" i="1"/>
  <c r="H510" i="1"/>
  <c r="H506" i="1"/>
  <c r="H502" i="1"/>
  <c r="H498" i="1"/>
  <c r="H494" i="1"/>
  <c r="H490" i="1"/>
  <c r="H486" i="1"/>
  <c r="H482" i="1"/>
  <c r="H478" i="1"/>
  <c r="H474" i="1"/>
  <c r="H470" i="1"/>
  <c r="H466" i="1"/>
  <c r="H462" i="1"/>
  <c r="H458" i="1"/>
  <c r="H454" i="1"/>
  <c r="H450" i="1"/>
  <c r="H446" i="1"/>
  <c r="H442" i="1"/>
  <c r="H438" i="1"/>
  <c r="H434" i="1"/>
  <c r="H430" i="1"/>
  <c r="H426" i="1"/>
  <c r="H422" i="1"/>
  <c r="H418" i="1"/>
  <c r="H414" i="1"/>
  <c r="H410" i="1"/>
  <c r="H406" i="1"/>
  <c r="H402" i="1"/>
  <c r="H398" i="1"/>
  <c r="H394" i="1"/>
  <c r="H390" i="1"/>
  <c r="H386" i="1"/>
  <c r="H382" i="1"/>
  <c r="H378" i="1"/>
  <c r="H374" i="1"/>
  <c r="H370" i="1"/>
  <c r="H366" i="1"/>
  <c r="H362" i="1"/>
  <c r="H358" i="1"/>
  <c r="H354" i="1"/>
  <c r="H350" i="1"/>
  <c r="H346" i="1"/>
  <c r="H342" i="1"/>
  <c r="H338" i="1"/>
  <c r="H334" i="1"/>
  <c r="H330" i="1"/>
  <c r="H326" i="1"/>
  <c r="H322" i="1"/>
  <c r="H318" i="1"/>
  <c r="H314" i="1"/>
  <c r="H310" i="1"/>
  <c r="H306" i="1"/>
  <c r="H302" i="1"/>
  <c r="H298" i="1"/>
  <c r="H294" i="1"/>
  <c r="H290" i="1"/>
  <c r="H286" i="1"/>
  <c r="H282" i="1"/>
  <c r="H278" i="1"/>
  <c r="H274" i="1"/>
  <c r="H270" i="1"/>
  <c r="H266" i="1"/>
  <c r="H262" i="1"/>
  <c r="H258" i="1"/>
  <c r="H254" i="1"/>
  <c r="H250" i="1"/>
  <c r="H246" i="1"/>
  <c r="H242" i="1"/>
  <c r="H238" i="1"/>
  <c r="H234" i="1"/>
  <c r="H230" i="1"/>
  <c r="H226" i="1"/>
  <c r="H222" i="1"/>
  <c r="H218" i="1"/>
  <c r="H214" i="1"/>
  <c r="H210" i="1"/>
  <c r="H206" i="1"/>
  <c r="H202" i="1"/>
  <c r="H198" i="1"/>
  <c r="H194" i="1"/>
  <c r="H190" i="1"/>
  <c r="H186" i="1"/>
  <c r="H182" i="1"/>
  <c r="H178" i="1"/>
  <c r="H174" i="1"/>
  <c r="H170" i="1"/>
  <c r="H166" i="1"/>
  <c r="H162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12" i="1" l="1"/>
  <c r="H32" i="1"/>
  <c r="H36" i="1"/>
  <c r="H29" i="1"/>
  <c r="H18" i="1"/>
  <c r="H10" i="1"/>
  <c r="H21" i="1"/>
  <c r="H31" i="1"/>
  <c r="H45" i="1"/>
  <c r="H11" i="1"/>
  <c r="H46" i="1"/>
  <c r="H49" i="1"/>
  <c r="H55" i="1"/>
  <c r="H7" i="1"/>
  <c r="H14" i="1"/>
  <c r="H27" i="1"/>
  <c r="H52" i="1"/>
  <c r="H22" i="1"/>
  <c r="H42" i="1"/>
  <c r="G2" i="1"/>
  <c r="H2" i="1" s="1"/>
  <c r="H6" i="1"/>
  <c r="H16" i="1"/>
  <c r="H19" i="1"/>
  <c r="H23" i="1"/>
  <c r="H26" i="1"/>
  <c r="H33" i="1"/>
  <c r="H37" i="1"/>
  <c r="H40" i="1"/>
  <c r="H43" i="1"/>
  <c r="H50" i="1"/>
  <c r="H53" i="1"/>
  <c r="H35" i="1"/>
  <c r="H48" i="1"/>
  <c r="H5" i="1"/>
  <c r="H15" i="1"/>
  <c r="H39" i="1"/>
  <c r="H3" i="1"/>
  <c r="H9" i="1"/>
  <c r="H13" i="1"/>
  <c r="H17" i="1"/>
  <c r="H20" i="1"/>
  <c r="H24" i="1"/>
  <c r="H30" i="1"/>
  <c r="H34" i="1"/>
  <c r="H38" i="1"/>
  <c r="H44" i="1"/>
  <c r="H47" i="1"/>
  <c r="H51" i="1"/>
  <c r="H4" i="1"/>
  <c r="H8" i="1"/>
  <c r="H28" i="1"/>
  <c r="H41" i="1"/>
  <c r="H25" i="1"/>
  <c r="H54" i="1" l="1"/>
  <c r="H56" i="1"/>
  <c r="O40" i="1"/>
  <c r="O22" i="1"/>
  <c r="O18" i="1" l="1"/>
  <c r="O28" i="1" s="1"/>
  <c r="O27" i="1" l="1"/>
  <c r="O26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<sst xmlns="http://schemas.openxmlformats.org/spreadsheetml/2006/main" count="47" uniqueCount="44">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</sst>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  <xf numFmtId="2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workbookViewId="0">
      <selection activeCell="O14" sqref="O14"/>
    </sheetView>
  </sheetViews>
  <sheetFormatPr defaultRowHeight="15" x14ac:dyDescent="0.25"/>
  <cols>
    <col min="3" max="3" width="14.140625" style="7" bestFit="1" customWidth="1"/>
    <col min="4" max="4" width="15.14062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0</v>
      </c>
      <c r="B1" t="s">
        <v>1</v>
      </c>
      <c r="C1" s="7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35">
      <c r="A2" s="7">
        <v>100</v>
      </c>
      <c r="B2">
        <v>0</v>
      </c>
      <c r="C2" s="7">
        <v>100</v>
      </c>
      <c r="D2">
        <v>0</v>
      </c>
      <c r="E2" s="2">
        <f>IF(C2="","",_xlfn.RANK.AVG(C2,C$2:C$1003,1))</f>
        <v>782</v>
      </c>
      <c r="F2" s="2">
        <f>IF(D2="","",_xlfn.RANK.AVG(D2,D$2:D$1003,1))</f>
        <v>199.5</v>
      </c>
      <c r="G2" s="2">
        <f>IF(C2="","",E2-F2)</f>
        <v>582.5</v>
      </c>
      <c r="H2" s="2">
        <f t="shared" ref="H2:H33" si="0">IF(C2="","",G2^2)</f>
        <v>339306.25</v>
      </c>
      <c r="M2" s="6" t="s">
        <v>36</v>
      </c>
    </row>
    <row r="3" spans="1:15" x14ac:dyDescent="0.25">
      <c r="A3" s="7">
        <v>100</v>
      </c>
      <c r="B3">
        <v>0</v>
      </c>
      <c r="C3" s="7">
        <v>100</v>
      </c>
      <c r="D3">
        <v>0</v>
      </c>
      <c r="E3" s="2">
        <f t="shared" ref="E3:E66" si="1">IF(C3="","",_xlfn.RANK.AVG(C3,C$2:C$1003,1))</f>
        <v>782</v>
      </c>
      <c r="F3" s="2">
        <f t="shared" ref="F3:F66" si="2">IF(D3="","",_xlfn.RANK.AVG(D3,D$2:D$1003,1))</f>
        <v>199.5</v>
      </c>
      <c r="G3" s="2">
        <f t="shared" ref="G3:G66" si="3">IF(C3="","",E3-F3)</f>
        <v>582.5</v>
      </c>
      <c r="H3" s="2">
        <f t="shared" si="0"/>
        <v>339306.25</v>
      </c>
      <c r="M3" s="1" t="s">
        <v>37</v>
      </c>
    </row>
    <row r="4" spans="1:15" x14ac:dyDescent="0.25">
      <c r="A4" s="7">
        <v>85.91549295774648</v>
      </c>
      <c r="B4">
        <v>90.322580645161281</v>
      </c>
      <c r="C4" s="7">
        <v>85.91549295774648</v>
      </c>
      <c r="D4">
        <v>90.322580645161281</v>
      </c>
      <c r="E4" s="2">
        <f t="shared" si="1"/>
        <v>250</v>
      </c>
      <c r="F4" s="2">
        <f t="shared" si="2"/>
        <v>805.5</v>
      </c>
      <c r="G4" s="2">
        <f t="shared" si="3"/>
        <v>-555.5</v>
      </c>
      <c r="H4" s="2">
        <f t="shared" si="0"/>
        <v>308580.25</v>
      </c>
    </row>
    <row r="5" spans="1:15" x14ac:dyDescent="0.25">
      <c r="A5" s="7">
        <v>0</v>
      </c>
      <c r="B5">
        <v>0</v>
      </c>
      <c r="C5" s="7">
        <v>0</v>
      </c>
      <c r="D5">
        <v>0</v>
      </c>
      <c r="E5" s="2">
        <f t="shared" si="1"/>
        <v>20</v>
      </c>
      <c r="F5" s="2">
        <f t="shared" si="2"/>
        <v>199.5</v>
      </c>
      <c r="G5" s="2">
        <f t="shared" si="3"/>
        <v>-179.5</v>
      </c>
      <c r="H5" s="2">
        <f t="shared" si="0"/>
        <v>32220.25</v>
      </c>
      <c r="M5" s="3" t="s">
        <v>9</v>
      </c>
      <c r="N5" t="s">
        <v>35</v>
      </c>
    </row>
    <row r="6" spans="1:15" x14ac:dyDescent="0.25">
      <c r="A6" s="7">
        <v>100</v>
      </c>
      <c r="B6">
        <v>90.909090909090907</v>
      </c>
      <c r="C6" s="7">
        <v>100</v>
      </c>
      <c r="D6">
        <v>90.909090909090907</v>
      </c>
      <c r="E6" s="2">
        <f t="shared" si="1"/>
        <v>782</v>
      </c>
      <c r="F6" s="2">
        <f t="shared" si="2"/>
        <v>814</v>
      </c>
      <c r="G6" s="2">
        <f t="shared" si="3"/>
        <v>-32</v>
      </c>
      <c r="H6" s="2">
        <f t="shared" si="0"/>
        <v>1024</v>
      </c>
      <c r="N6" s="1" t="s">
        <v>10</v>
      </c>
    </row>
    <row r="7" spans="1:15" x14ac:dyDescent="0.25">
      <c r="A7" s="7">
        <v>100</v>
      </c>
      <c r="B7">
        <v>93.333333333333329</v>
      </c>
      <c r="C7" s="7">
        <v>100</v>
      </c>
      <c r="D7">
        <v>93.333333333333329</v>
      </c>
      <c r="E7" s="2">
        <f t="shared" si="1"/>
        <v>782</v>
      </c>
      <c r="F7" s="2">
        <f t="shared" si="2"/>
        <v>839</v>
      </c>
      <c r="G7" s="2">
        <f t="shared" si="3"/>
        <v>-57</v>
      </c>
      <c r="H7" s="2">
        <f t="shared" si="0"/>
        <v>3249</v>
      </c>
      <c r="N7" t="s">
        <v>4</v>
      </c>
      <c r="O7" s="2">
        <f>COUNT(C:C)</f>
        <v>1002</v>
      </c>
    </row>
    <row r="8" spans="1:15" x14ac:dyDescent="0.25">
      <c r="A8" s="7">
        <v>84.210526315789465</v>
      </c>
      <c r="B8">
        <v>84.615384615384613</v>
      </c>
      <c r="C8" s="7">
        <v>84.210526315789465</v>
      </c>
      <c r="D8">
        <v>84.615384615384613</v>
      </c>
      <c r="E8" s="2">
        <f t="shared" si="1"/>
        <v>226</v>
      </c>
      <c r="F8" s="2">
        <f t="shared" si="2"/>
        <v>706.5</v>
      </c>
      <c r="G8" s="2">
        <f t="shared" si="3"/>
        <v>-480.5</v>
      </c>
      <c r="H8" s="2">
        <f t="shared" si="0"/>
        <v>230880.25</v>
      </c>
    </row>
    <row r="9" spans="1:15" x14ac:dyDescent="0.25">
      <c r="A9" s="7">
        <v>93.103448275862064</v>
      </c>
      <c r="B9">
        <v>100</v>
      </c>
      <c r="C9" s="7">
        <v>93.103448275862064</v>
      </c>
      <c r="D9">
        <v>100</v>
      </c>
      <c r="E9" s="2">
        <f t="shared" si="1"/>
        <v>406.5</v>
      </c>
      <c r="F9" s="2">
        <f t="shared" si="2"/>
        <v>943.5</v>
      </c>
      <c r="G9" s="2">
        <f t="shared" si="3"/>
        <v>-537</v>
      </c>
      <c r="H9" s="2">
        <f t="shared" si="0"/>
        <v>288369</v>
      </c>
      <c r="M9" s="3" t="s">
        <v>11</v>
      </c>
      <c r="N9" t="s">
        <v>12</v>
      </c>
    </row>
    <row r="10" spans="1:15" x14ac:dyDescent="0.25">
      <c r="A10" s="7">
        <v>100</v>
      </c>
      <c r="B10">
        <v>100</v>
      </c>
      <c r="C10" s="7">
        <v>100</v>
      </c>
      <c r="D10">
        <v>100</v>
      </c>
      <c r="E10" s="2">
        <f t="shared" si="1"/>
        <v>782</v>
      </c>
      <c r="F10" s="2">
        <f t="shared" si="2"/>
        <v>943.5</v>
      </c>
      <c r="G10" s="2">
        <f t="shared" si="3"/>
        <v>-161.5</v>
      </c>
      <c r="H10" s="2">
        <f t="shared" si="0"/>
        <v>26082.25</v>
      </c>
      <c r="N10" s="1" t="s">
        <v>13</v>
      </c>
    </row>
    <row r="11" spans="1:15" x14ac:dyDescent="0.25">
      <c r="A11" s="7">
        <v>81.72043010752688</v>
      </c>
      <c r="B11">
        <v>44.505494505494504</v>
      </c>
      <c r="C11" s="7">
        <v>81.72043010752688</v>
      </c>
      <c r="D11">
        <v>44.505494505494504</v>
      </c>
      <c r="E11" s="2">
        <f t="shared" si="1"/>
        <v>190</v>
      </c>
      <c r="F11" s="2">
        <f t="shared" si="2"/>
        <v>417.5</v>
      </c>
      <c r="G11" s="2">
        <f t="shared" si="3"/>
        <v>-227.5</v>
      </c>
      <c r="H11" s="2">
        <f t="shared" si="0"/>
        <v>51756.25</v>
      </c>
    </row>
    <row r="12" spans="1:15" x14ac:dyDescent="0.25">
      <c r="A12" s="7">
        <v>95.081967213114751</v>
      </c>
      <c r="B12">
        <v>82.173913043478265</v>
      </c>
      <c r="C12" s="7">
        <v>95.081967213114751</v>
      </c>
      <c r="D12">
        <v>82.173913043478265</v>
      </c>
      <c r="E12" s="2">
        <f t="shared" si="1"/>
        <v>441.5</v>
      </c>
      <c r="F12" s="2">
        <f t="shared" si="2"/>
        <v>669.5</v>
      </c>
      <c r="G12" s="2">
        <f t="shared" si="3"/>
        <v>-228</v>
      </c>
      <c r="H12" s="2">
        <f t="shared" si="0"/>
        <v>51984</v>
      </c>
      <c r="M12" s="3" t="s">
        <v>14</v>
      </c>
      <c r="N12" t="s">
        <v>15</v>
      </c>
    </row>
    <row r="13" spans="1:15" x14ac:dyDescent="0.25">
      <c r="A13" s="7">
        <v>84.848484848484844</v>
      </c>
      <c r="B13">
        <v>78.787878787878782</v>
      </c>
      <c r="C13" s="7">
        <v>84.848484848484844</v>
      </c>
      <c r="D13">
        <v>78.787878787878782</v>
      </c>
      <c r="E13" s="2">
        <f t="shared" si="1"/>
        <v>235</v>
      </c>
      <c r="F13" s="2">
        <f t="shared" si="2"/>
        <v>639</v>
      </c>
      <c r="G13" s="2">
        <f t="shared" si="3"/>
        <v>-404</v>
      </c>
      <c r="H13" s="2">
        <f t="shared" si="0"/>
        <v>163216</v>
      </c>
    </row>
    <row r="14" spans="1:15" ht="18" x14ac:dyDescent="0.35">
      <c r="A14" s="7">
        <v>88.888888888888886</v>
      </c>
      <c r="B14">
        <v>0</v>
      </c>
      <c r="C14" s="7">
        <v>88.888888888888886</v>
      </c>
      <c r="D14">
        <v>0</v>
      </c>
      <c r="E14" s="2">
        <f t="shared" si="1"/>
        <v>298.5</v>
      </c>
      <c r="F14" s="2">
        <f t="shared" si="2"/>
        <v>199.5</v>
      </c>
      <c r="G14" s="2">
        <f t="shared" si="3"/>
        <v>99</v>
      </c>
      <c r="H14" s="2">
        <f t="shared" si="0"/>
        <v>9801</v>
      </c>
      <c r="J14" s="4" t="s">
        <v>38</v>
      </c>
      <c r="K14" s="5">
        <f>SPEARMANRHO($A$2:$A$1003,$B$2:$B$1003,1)</f>
        <v>2.648358936184133E-2</v>
      </c>
      <c r="N14" t="s">
        <v>39</v>
      </c>
      <c r="O14" s="2">
        <f>CORREL(E:E,F:F)</f>
        <v>2.6483589361841336E-2</v>
      </c>
    </row>
    <row r="15" spans="1:15" x14ac:dyDescent="0.25">
      <c r="A15" s="7">
        <v>60.919540229885058</v>
      </c>
      <c r="B15">
        <v>62.264150943396224</v>
      </c>
      <c r="C15" s="7">
        <v>60.919540229885058</v>
      </c>
      <c r="D15">
        <v>62.264150943396224</v>
      </c>
      <c r="E15" s="2">
        <f t="shared" si="1"/>
        <v>93</v>
      </c>
      <c r="F15" s="2">
        <f t="shared" si="2"/>
        <v>488</v>
      </c>
      <c r="G15" s="2">
        <f t="shared" si="3"/>
        <v>-395</v>
      </c>
      <c r="H15" s="2">
        <f t="shared" si="0"/>
        <v>156025</v>
      </c>
    </row>
    <row r="16" spans="1:15" x14ac:dyDescent="0.25">
      <c r="A16" s="7">
        <v>87.5</v>
      </c>
      <c r="B16">
        <v>66.666666666666657</v>
      </c>
      <c r="C16" s="7">
        <v>87.5</v>
      </c>
      <c r="D16">
        <v>66.666666666666657</v>
      </c>
      <c r="E16" s="2">
        <f t="shared" si="1"/>
        <v>279.5</v>
      </c>
      <c r="F16" s="2">
        <f t="shared" si="2"/>
        <v>519.5</v>
      </c>
      <c r="G16" s="2">
        <f t="shared" si="3"/>
        <v>-240</v>
      </c>
      <c r="H16" s="2">
        <f t="shared" si="0"/>
        <v>57600</v>
      </c>
      <c r="M16" s="3" t="s">
        <v>16</v>
      </c>
      <c r="N16" t="s">
        <v>17</v>
      </c>
    </row>
    <row r="17" spans="1:16" x14ac:dyDescent="0.25">
      <c r="A17" s="7">
        <v>100</v>
      </c>
      <c r="B17">
        <v>100</v>
      </c>
      <c r="C17" s="7">
        <v>100</v>
      </c>
      <c r="D17">
        <v>100</v>
      </c>
      <c r="E17" s="2">
        <f t="shared" si="1"/>
        <v>782</v>
      </c>
      <c r="F17" s="2">
        <f t="shared" si="2"/>
        <v>943.5</v>
      </c>
      <c r="G17" s="2">
        <f t="shared" si="3"/>
        <v>-161.5</v>
      </c>
      <c r="H17" s="2">
        <f t="shared" si="0"/>
        <v>26082.25</v>
      </c>
    </row>
    <row r="18" spans="1:16" x14ac:dyDescent="0.25">
      <c r="A18" s="7">
        <v>83.7890625</v>
      </c>
      <c r="B18">
        <v>71.802773497688747</v>
      </c>
      <c r="C18" s="7">
        <v>83.7890625</v>
      </c>
      <c r="D18">
        <v>71.802773497688747</v>
      </c>
      <c r="E18" s="2">
        <f t="shared" si="1"/>
        <v>220</v>
      </c>
      <c r="F18" s="2">
        <f t="shared" si="2"/>
        <v>572</v>
      </c>
      <c r="G18" s="2">
        <f t="shared" si="3"/>
        <v>-352</v>
      </c>
      <c r="H18" s="2">
        <f t="shared" si="0"/>
        <v>123904</v>
      </c>
      <c r="J18" s="4" t="s">
        <v>38</v>
      </c>
      <c r="K18" s="5">
        <f>SPEARMANRHO($A$2:$A$1003,$B$2:$B$1003,2)</f>
        <v>0.83777848228253593</v>
      </c>
      <c r="N18" t="s">
        <v>6</v>
      </c>
      <c r="O18" s="2">
        <f>O14*SQRT((O7-2)/(1-O14^2))</f>
        <v>0.83777848228253615</v>
      </c>
    </row>
    <row r="19" spans="1:16" x14ac:dyDescent="0.25">
      <c r="A19" s="7">
        <v>77.922077922077932</v>
      </c>
      <c r="B19">
        <v>74.914089347079042</v>
      </c>
      <c r="C19" s="7">
        <v>77.922077922077932</v>
      </c>
      <c r="D19">
        <v>74.914089347079042</v>
      </c>
      <c r="E19" s="2">
        <f t="shared" si="1"/>
        <v>163</v>
      </c>
      <c r="F19" s="2">
        <f t="shared" si="2"/>
        <v>605</v>
      </c>
      <c r="G19" s="2">
        <f t="shared" si="3"/>
        <v>-442</v>
      </c>
      <c r="H19" s="2">
        <f t="shared" si="0"/>
        <v>195364</v>
      </c>
    </row>
    <row r="20" spans="1:16" x14ac:dyDescent="0.25">
      <c r="A20" s="7">
        <v>92.857142857142861</v>
      </c>
      <c r="B20">
        <v>87.096774193548384</v>
      </c>
      <c r="C20" s="7">
        <v>92.857142857142861</v>
      </c>
      <c r="D20">
        <v>87.096774193548384</v>
      </c>
      <c r="E20" s="2">
        <f t="shared" si="1"/>
        <v>400.5</v>
      </c>
      <c r="F20" s="2">
        <f t="shared" si="2"/>
        <v>744</v>
      </c>
      <c r="G20" s="2">
        <f t="shared" si="3"/>
        <v>-343.5</v>
      </c>
      <c r="H20" s="2">
        <f t="shared" si="0"/>
        <v>117992.25</v>
      </c>
      <c r="M20" s="3" t="s">
        <v>18</v>
      </c>
      <c r="N20" t="s">
        <v>19</v>
      </c>
    </row>
    <row r="21" spans="1:16" x14ac:dyDescent="0.25">
      <c r="A21" s="7">
        <v>100</v>
      </c>
      <c r="B21">
        <v>0</v>
      </c>
      <c r="C21" s="7">
        <v>100</v>
      </c>
      <c r="D21">
        <v>0</v>
      </c>
      <c r="E21" s="2">
        <f t="shared" si="1"/>
        <v>782</v>
      </c>
      <c r="F21" s="2">
        <f t="shared" si="2"/>
        <v>199.5</v>
      </c>
      <c r="G21" s="2">
        <f t="shared" si="3"/>
        <v>582.5</v>
      </c>
      <c r="H21" s="2">
        <f t="shared" si="0"/>
        <v>339306.25</v>
      </c>
    </row>
    <row r="22" spans="1:16" x14ac:dyDescent="0.25">
      <c r="A22" s="7">
        <v>60</v>
      </c>
      <c r="B22">
        <v>68.75</v>
      </c>
      <c r="C22" s="7">
        <v>60</v>
      </c>
      <c r="D22">
        <v>68.75</v>
      </c>
      <c r="E22" s="2">
        <f t="shared" si="1"/>
        <v>88.5</v>
      </c>
      <c r="F22" s="2">
        <f t="shared" si="2"/>
        <v>541</v>
      </c>
      <c r="G22" s="2">
        <f t="shared" si="3"/>
        <v>-452.5</v>
      </c>
      <c r="H22" s="2">
        <f t="shared" si="0"/>
        <v>204756.25</v>
      </c>
      <c r="J22" s="4" t="s">
        <v>38</v>
      </c>
      <c r="K22" s="5">
        <f>SPEARMANRHO($A$2:$A$1003,$B$2:$B$1003,3)</f>
        <v>1000</v>
      </c>
      <c r="N22" t="s">
        <v>7</v>
      </c>
      <c r="O22" s="2">
        <f>O7-2</f>
        <v>1000</v>
      </c>
    </row>
    <row r="23" spans="1:16" x14ac:dyDescent="0.25">
      <c r="A23" s="7">
        <v>82.608695652173907</v>
      </c>
      <c r="B23">
        <v>100</v>
      </c>
      <c r="C23" s="7">
        <v>82.608695652173907</v>
      </c>
      <c r="D23">
        <v>100</v>
      </c>
      <c r="E23" s="2">
        <f t="shared" si="1"/>
        <v>198</v>
      </c>
      <c r="F23" s="2">
        <f t="shared" si="2"/>
        <v>943.5</v>
      </c>
      <c r="G23" s="2">
        <f t="shared" si="3"/>
        <v>-745.5</v>
      </c>
      <c r="H23" s="2">
        <f t="shared" si="0"/>
        <v>555770.25</v>
      </c>
    </row>
    <row r="24" spans="1:16" x14ac:dyDescent="0.25">
      <c r="A24" s="7">
        <v>100</v>
      </c>
      <c r="B24">
        <v>0</v>
      </c>
      <c r="C24" s="7">
        <v>100</v>
      </c>
      <c r="D24">
        <v>0</v>
      </c>
      <c r="E24" s="2">
        <f t="shared" si="1"/>
        <v>782</v>
      </c>
      <c r="F24" s="2">
        <f t="shared" si="2"/>
        <v>199.5</v>
      </c>
      <c r="G24" s="2">
        <f t="shared" si="3"/>
        <v>582.5</v>
      </c>
      <c r="H24" s="2">
        <f t="shared" si="0"/>
        <v>339306.25</v>
      </c>
      <c r="M24" s="3" t="s">
        <v>20</v>
      </c>
      <c r="N24" t="s">
        <v>21</v>
      </c>
    </row>
    <row r="25" spans="1:16" x14ac:dyDescent="0.25">
      <c r="A25" s="7">
        <v>95.945945945945937</v>
      </c>
      <c r="B25">
        <v>90.540540540540533</v>
      </c>
      <c r="C25" s="7">
        <v>95.945945945945937</v>
      </c>
      <c r="D25">
        <v>90.540540540540533</v>
      </c>
      <c r="E25" s="2">
        <f t="shared" si="1"/>
        <v>470</v>
      </c>
      <c r="F25" s="2">
        <f t="shared" si="2"/>
        <v>810</v>
      </c>
      <c r="G25" s="2">
        <f t="shared" si="3"/>
        <v>-340</v>
      </c>
      <c r="H25" s="2">
        <f t="shared" si="0"/>
        <v>115600</v>
      </c>
    </row>
    <row r="26" spans="1:16" x14ac:dyDescent="0.25">
      <c r="A26" s="7">
        <v>100</v>
      </c>
      <c r="B26">
        <v>100</v>
      </c>
      <c r="C26" s="7">
        <v>100</v>
      </c>
      <c r="D26">
        <v>100</v>
      </c>
      <c r="E26" s="2">
        <f t="shared" si="1"/>
        <v>782</v>
      </c>
      <c r="F26" s="2">
        <f t="shared" si="2"/>
        <v>943.5</v>
      </c>
      <c r="G26" s="2">
        <f t="shared" si="3"/>
        <v>-161.5</v>
      </c>
      <c r="H26" s="2">
        <f t="shared" si="0"/>
        <v>26082.25</v>
      </c>
      <c r="J26" s="4" t="s">
        <v>38</v>
      </c>
      <c r="K26" s="5">
        <f>SPEARMANRHO($A$2:$A$1003,$B$2:$B$1003)</f>
        <v>0.40235531096783039</v>
      </c>
      <c r="N26" t="s">
        <v>8</v>
      </c>
      <c r="O26" s="2">
        <f>_xlfn.T.DIST.2T(ABS(O18),O22)</f>
        <v>0.40235531096783006</v>
      </c>
      <c r="P26" t="s">
        <v>22</v>
      </c>
    </row>
    <row r="27" spans="1:16" x14ac:dyDescent="0.25">
      <c r="A27" s="7">
        <v>100</v>
      </c>
      <c r="B27">
        <v>0</v>
      </c>
      <c r="C27" s="7">
        <v>100</v>
      </c>
      <c r="D27">
        <v>0</v>
      </c>
      <c r="E27" s="2">
        <f t="shared" si="1"/>
        <v>782</v>
      </c>
      <c r="F27" s="2">
        <f t="shared" si="2"/>
        <v>199.5</v>
      </c>
      <c r="G27" s="2">
        <f t="shared" si="3"/>
        <v>582.5</v>
      </c>
      <c r="H27" s="2">
        <f t="shared" si="0"/>
        <v>339306.25</v>
      </c>
      <c r="O27" s="2">
        <f>TDIST(ABS(O18),O22,2)</f>
        <v>0.40235531096783006</v>
      </c>
      <c r="P27" t="s">
        <v>23</v>
      </c>
    </row>
    <row r="28" spans="1:16" x14ac:dyDescent="0.25">
      <c r="A28" s="7">
        <v>86.805555555555557</v>
      </c>
      <c r="B28">
        <v>67.2</v>
      </c>
      <c r="C28" s="7">
        <v>86.805555555555557</v>
      </c>
      <c r="D28">
        <v>67.2</v>
      </c>
      <c r="E28" s="2">
        <f t="shared" si="1"/>
        <v>265</v>
      </c>
      <c r="F28" s="2">
        <f t="shared" si="2"/>
        <v>533</v>
      </c>
      <c r="G28" s="2">
        <f t="shared" si="3"/>
        <v>-268</v>
      </c>
      <c r="H28" s="2">
        <f t="shared" si="0"/>
        <v>71824</v>
      </c>
      <c r="O28" s="2">
        <f>2*(1-_xlfn.T.DIST(ABS(O18),O22,TRUE))</f>
        <v>0.40235531096783017</v>
      </c>
      <c r="P28" t="s">
        <v>24</v>
      </c>
    </row>
    <row r="29" spans="1:16" x14ac:dyDescent="0.25">
      <c r="A29" s="7">
        <v>77.777777777777786</v>
      </c>
      <c r="B29">
        <v>54.54545454545454</v>
      </c>
      <c r="C29" s="7">
        <v>77.777777777777786</v>
      </c>
      <c r="D29">
        <v>54.54545454545454</v>
      </c>
      <c r="E29" s="2">
        <f t="shared" si="1"/>
        <v>160</v>
      </c>
      <c r="F29" s="2">
        <f t="shared" si="2"/>
        <v>450</v>
      </c>
      <c r="G29" s="2">
        <f t="shared" si="3"/>
        <v>-290</v>
      </c>
      <c r="H29" s="2">
        <f t="shared" si="0"/>
        <v>84100</v>
      </c>
    </row>
    <row r="30" spans="1:16" x14ac:dyDescent="0.25">
      <c r="A30" s="7">
        <v>94.444444444444443</v>
      </c>
      <c r="B30">
        <v>0</v>
      </c>
      <c r="C30" s="7">
        <v>94.444444444444443</v>
      </c>
      <c r="D30">
        <v>0</v>
      </c>
      <c r="E30" s="2">
        <f t="shared" si="1"/>
        <v>427.5</v>
      </c>
      <c r="F30" s="2">
        <f t="shared" si="2"/>
        <v>199.5</v>
      </c>
      <c r="G30" s="2">
        <f t="shared" si="3"/>
        <v>228</v>
      </c>
      <c r="H30" s="2">
        <f t="shared" si="0"/>
        <v>51984</v>
      </c>
      <c r="M30" s="3" t="s">
        <v>25</v>
      </c>
      <c r="N30" s="3" t="s">
        <v>26</v>
      </c>
    </row>
    <row r="31" spans="1:16" x14ac:dyDescent="0.25">
      <c r="A31" s="7">
        <v>76.470588235294116</v>
      </c>
      <c r="B31">
        <v>69.230769230769226</v>
      </c>
      <c r="C31" s="7">
        <v>76.470588235294116</v>
      </c>
      <c r="D31">
        <v>69.230769230769226</v>
      </c>
      <c r="E31" s="2">
        <f t="shared" si="1"/>
        <v>155</v>
      </c>
      <c r="F31" s="2">
        <f t="shared" si="2"/>
        <v>547.5</v>
      </c>
      <c r="G31" s="2">
        <f t="shared" si="3"/>
        <v>-392.5</v>
      </c>
      <c r="H31" s="2">
        <f t="shared" si="0"/>
        <v>154056.25</v>
      </c>
    </row>
    <row r="32" spans="1:16" x14ac:dyDescent="0.25">
      <c r="A32" s="7">
        <v>91.666666666666657</v>
      </c>
      <c r="B32">
        <v>50</v>
      </c>
      <c r="C32" s="7">
        <v>91.666666666666657</v>
      </c>
      <c r="D32">
        <v>50</v>
      </c>
      <c r="E32" s="2">
        <f t="shared" si="1"/>
        <v>368.5</v>
      </c>
      <c r="F32" s="2">
        <f t="shared" si="2"/>
        <v>430.5</v>
      </c>
      <c r="G32" s="2">
        <f t="shared" si="3"/>
        <v>-62</v>
      </c>
      <c r="H32" s="2">
        <f t="shared" si="0"/>
        <v>3844</v>
      </c>
      <c r="M32" t="s">
        <v>27</v>
      </c>
      <c r="N32" t="s">
        <v>28</v>
      </c>
    </row>
    <row r="33" spans="1:15" x14ac:dyDescent="0.25">
      <c r="A33" s="7">
        <v>95</v>
      </c>
      <c r="B33">
        <v>72.727272727272734</v>
      </c>
      <c r="C33" s="7">
        <v>95</v>
      </c>
      <c r="D33">
        <v>72.727272727272734</v>
      </c>
      <c r="E33" s="2">
        <f t="shared" si="1"/>
        <v>438.5</v>
      </c>
      <c r="F33" s="2">
        <f t="shared" si="2"/>
        <v>580.5</v>
      </c>
      <c r="G33" s="2">
        <f t="shared" si="3"/>
        <v>-142</v>
      </c>
      <c r="H33" s="2">
        <f t="shared" si="0"/>
        <v>20164</v>
      </c>
      <c r="N33" s="1" t="s">
        <v>29</v>
      </c>
    </row>
    <row r="34" spans="1:15" x14ac:dyDescent="0.25">
      <c r="A34" s="7">
        <v>53.846153846153847</v>
      </c>
      <c r="B34">
        <v>52.083333333333336</v>
      </c>
      <c r="C34" s="7">
        <v>53.846153846153847</v>
      </c>
      <c r="D34">
        <v>52.083333333333336</v>
      </c>
      <c r="E34" s="2">
        <f t="shared" si="1"/>
        <v>79</v>
      </c>
      <c r="F34" s="2">
        <f t="shared" si="2"/>
        <v>440.5</v>
      </c>
      <c r="G34" s="2">
        <f t="shared" si="3"/>
        <v>-361.5</v>
      </c>
      <c r="H34" s="2">
        <f t="shared" ref="H34:H65" si="4">IF(C34="","",G34^2)</f>
        <v>130682.25</v>
      </c>
    </row>
    <row r="35" spans="1:15" x14ac:dyDescent="0.25">
      <c r="A35" s="7">
        <v>100</v>
      </c>
      <c r="B35">
        <v>68.840579710144922</v>
      </c>
      <c r="C35" s="7">
        <v>100</v>
      </c>
      <c r="D35">
        <v>68.840579710144922</v>
      </c>
      <c r="E35" s="2">
        <f t="shared" si="1"/>
        <v>782</v>
      </c>
      <c r="F35" s="2">
        <f t="shared" si="2"/>
        <v>542.5</v>
      </c>
      <c r="G35" s="2">
        <f t="shared" si="3"/>
        <v>239.5</v>
      </c>
      <c r="H35" s="2">
        <f t="shared" si="4"/>
        <v>57360.25</v>
      </c>
      <c r="M35" t="s">
        <v>30</v>
      </c>
      <c r="N35" t="s">
        <v>31</v>
      </c>
    </row>
    <row r="36" spans="1:15" x14ac:dyDescent="0.25">
      <c r="A36" s="7">
        <v>82.608695652173907</v>
      </c>
      <c r="B36">
        <v>67.567567567567565</v>
      </c>
      <c r="C36" s="7">
        <v>82.608695652173907</v>
      </c>
      <c r="D36">
        <v>67.567567567567565</v>
      </c>
      <c r="E36" s="2">
        <f t="shared" si="1"/>
        <v>198</v>
      </c>
      <c r="F36" s="2">
        <f t="shared" si="2"/>
        <v>534.5</v>
      </c>
      <c r="G36" s="2">
        <f t="shared" si="3"/>
        <v>-336.5</v>
      </c>
      <c r="H36" s="2">
        <f t="shared" si="4"/>
        <v>113232.25</v>
      </c>
      <c r="N36" s="1" t="s">
        <v>32</v>
      </c>
    </row>
    <row r="37" spans="1:15" x14ac:dyDescent="0.25">
      <c r="A37" s="7">
        <v>100</v>
      </c>
      <c r="B37">
        <v>0</v>
      </c>
      <c r="C37" s="7">
        <v>100</v>
      </c>
      <c r="D37">
        <v>0</v>
      </c>
      <c r="E37" s="2">
        <f t="shared" si="1"/>
        <v>782</v>
      </c>
      <c r="F37" s="2">
        <f t="shared" si="2"/>
        <v>199.5</v>
      </c>
      <c r="G37" s="2">
        <f t="shared" si="3"/>
        <v>582.5</v>
      </c>
      <c r="H37" s="2">
        <f t="shared" si="4"/>
        <v>339306.25</v>
      </c>
    </row>
    <row r="38" spans="1:15" x14ac:dyDescent="0.25">
      <c r="A38" s="7">
        <v>94.680851063829792</v>
      </c>
      <c r="B38">
        <v>86.131386861313857</v>
      </c>
      <c r="C38" s="7">
        <v>94.680851063829792</v>
      </c>
      <c r="D38">
        <v>86.131386861313857</v>
      </c>
      <c r="E38" s="2">
        <f t="shared" si="1"/>
        <v>432</v>
      </c>
      <c r="F38" s="2">
        <f t="shared" si="2"/>
        <v>729.5</v>
      </c>
      <c r="G38" s="2">
        <f t="shared" si="3"/>
        <v>-297.5</v>
      </c>
      <c r="H38" s="2">
        <f t="shared" si="4"/>
        <v>88506.25</v>
      </c>
      <c r="M38" t="s">
        <v>33</v>
      </c>
      <c r="N38" t="s">
        <v>34</v>
      </c>
    </row>
    <row r="39" spans="1:15" x14ac:dyDescent="0.25">
      <c r="A39" s="7">
        <v>100</v>
      </c>
      <c r="B39">
        <v>0</v>
      </c>
      <c r="C39" s="7">
        <v>100</v>
      </c>
      <c r="D39">
        <v>0</v>
      </c>
      <c r="E39" s="2">
        <f t="shared" si="1"/>
        <v>782</v>
      </c>
      <c r="F39" s="2">
        <f t="shared" si="2"/>
        <v>199.5</v>
      </c>
      <c r="G39" s="2">
        <f t="shared" si="3"/>
        <v>582.5</v>
      </c>
      <c r="H39" s="2">
        <f t="shared" si="4"/>
        <v>339306.25</v>
      </c>
    </row>
    <row r="40" spans="1:15" x14ac:dyDescent="0.25">
      <c r="A40" s="7">
        <v>100</v>
      </c>
      <c r="B40">
        <v>73.68421052631578</v>
      </c>
      <c r="C40" s="7">
        <v>100</v>
      </c>
      <c r="D40">
        <v>73.68421052631578</v>
      </c>
      <c r="E40" s="2">
        <f t="shared" si="1"/>
        <v>782</v>
      </c>
      <c r="F40" s="2">
        <f t="shared" si="2"/>
        <v>596.5</v>
      </c>
      <c r="G40" s="2">
        <f t="shared" si="3"/>
        <v>185.5</v>
      </c>
      <c r="H40" s="2">
        <f t="shared" si="4"/>
        <v>34410.25</v>
      </c>
      <c r="N40" t="s">
        <v>5</v>
      </c>
      <c r="O40" s="2">
        <f>6*SUM(H:H)/(O7*(O7^2-1))</f>
        <v>0.90067464132693598</v>
      </c>
    </row>
    <row r="41" spans="1:15" x14ac:dyDescent="0.25">
      <c r="A41" s="7">
        <v>100</v>
      </c>
      <c r="B41">
        <v>0</v>
      </c>
      <c r="C41" s="7">
        <v>100</v>
      </c>
      <c r="D41">
        <v>0</v>
      </c>
      <c r="E41" s="2">
        <f t="shared" si="1"/>
        <v>782</v>
      </c>
      <c r="F41" s="2">
        <f t="shared" si="2"/>
        <v>199.5</v>
      </c>
      <c r="G41" s="2">
        <f t="shared" si="3"/>
        <v>582.5</v>
      </c>
      <c r="H41" s="2">
        <f t="shared" si="4"/>
        <v>339306.25</v>
      </c>
    </row>
    <row r="42" spans="1:15" x14ac:dyDescent="0.25">
      <c r="A42" s="7">
        <v>92.307692307692307</v>
      </c>
      <c r="B42">
        <v>75</v>
      </c>
      <c r="C42" s="7">
        <v>92.307692307692307</v>
      </c>
      <c r="D42">
        <v>75</v>
      </c>
      <c r="E42" s="2">
        <f t="shared" si="1"/>
        <v>389</v>
      </c>
      <c r="F42" s="2">
        <f t="shared" si="2"/>
        <v>610</v>
      </c>
      <c r="G42" s="2">
        <f t="shared" si="3"/>
        <v>-221</v>
      </c>
      <c r="H42" s="2">
        <f t="shared" si="4"/>
        <v>48841</v>
      </c>
    </row>
    <row r="43" spans="1:15" x14ac:dyDescent="0.25">
      <c r="A43" s="7">
        <v>100</v>
      </c>
      <c r="B43">
        <v>0</v>
      </c>
      <c r="C43" s="7">
        <v>100</v>
      </c>
      <c r="D43">
        <v>0</v>
      </c>
      <c r="E43" s="2">
        <f t="shared" si="1"/>
        <v>782</v>
      </c>
      <c r="F43" s="2">
        <f t="shared" si="2"/>
        <v>199.5</v>
      </c>
      <c r="G43" s="2">
        <f t="shared" si="3"/>
        <v>582.5</v>
      </c>
      <c r="H43" s="2">
        <f t="shared" si="4"/>
        <v>339306.25</v>
      </c>
    </row>
    <row r="44" spans="1:15" x14ac:dyDescent="0.25">
      <c r="A44" s="7">
        <v>90.476190476190482</v>
      </c>
      <c r="B44">
        <v>0</v>
      </c>
      <c r="C44" s="7">
        <v>90.476190476190482</v>
      </c>
      <c r="D44">
        <v>0</v>
      </c>
      <c r="E44" s="2">
        <f t="shared" si="1"/>
        <v>339.5</v>
      </c>
      <c r="F44" s="2">
        <f t="shared" si="2"/>
        <v>199.5</v>
      </c>
      <c r="G44" s="2">
        <f t="shared" si="3"/>
        <v>140</v>
      </c>
      <c r="H44" s="2">
        <f t="shared" si="4"/>
        <v>19600</v>
      </c>
    </row>
    <row r="45" spans="1:15" x14ac:dyDescent="0.25">
      <c r="A45" s="7">
        <v>88.659793814432987</v>
      </c>
      <c r="B45">
        <v>90</v>
      </c>
      <c r="C45" s="7">
        <v>88.659793814432987</v>
      </c>
      <c r="D45">
        <v>90</v>
      </c>
      <c r="E45" s="2">
        <f t="shared" si="1"/>
        <v>292</v>
      </c>
      <c r="F45" s="2">
        <f t="shared" si="2"/>
        <v>800</v>
      </c>
      <c r="G45" s="2">
        <f t="shared" si="3"/>
        <v>-508</v>
      </c>
      <c r="H45" s="2">
        <f t="shared" si="4"/>
        <v>258064</v>
      </c>
    </row>
    <row r="46" spans="1:15" x14ac:dyDescent="0.25">
      <c r="A46" s="7">
        <v>92.20779220779221</v>
      </c>
      <c r="B46">
        <v>74.149659863945587</v>
      </c>
      <c r="C46" s="7">
        <v>92.20779220779221</v>
      </c>
      <c r="D46">
        <v>74.149659863945587</v>
      </c>
      <c r="E46" s="2">
        <f t="shared" si="1"/>
        <v>388</v>
      </c>
      <c r="F46" s="2">
        <f t="shared" si="2"/>
        <v>600</v>
      </c>
      <c r="G46" s="2">
        <f t="shared" si="3"/>
        <v>-212</v>
      </c>
      <c r="H46" s="2">
        <f t="shared" si="4"/>
        <v>44944</v>
      </c>
    </row>
    <row r="47" spans="1:15" x14ac:dyDescent="0.25">
      <c r="A47" s="7">
        <v>97.509829619921362</v>
      </c>
      <c r="B47">
        <v>83.913894324853231</v>
      </c>
      <c r="C47" s="7">
        <v>97.509829619921362</v>
      </c>
      <c r="D47">
        <v>83.913894324853231</v>
      </c>
      <c r="E47" s="2">
        <f t="shared" si="1"/>
        <v>518</v>
      </c>
      <c r="F47" s="2">
        <f t="shared" si="2"/>
        <v>695</v>
      </c>
      <c r="G47" s="2">
        <f t="shared" si="3"/>
        <v>-177</v>
      </c>
      <c r="H47" s="2">
        <f t="shared" si="4"/>
        <v>31329</v>
      </c>
    </row>
    <row r="48" spans="1:15" x14ac:dyDescent="0.25">
      <c r="A48" s="7">
        <v>92.682926829268297</v>
      </c>
      <c r="B48">
        <v>78.94736842105263</v>
      </c>
      <c r="C48" s="7">
        <v>92.682926829268297</v>
      </c>
      <c r="D48">
        <v>78.94736842105263</v>
      </c>
      <c r="E48" s="2">
        <f t="shared" si="1"/>
        <v>394</v>
      </c>
      <c r="F48" s="2">
        <f t="shared" si="2"/>
        <v>640.5</v>
      </c>
      <c r="G48" s="2">
        <f t="shared" si="3"/>
        <v>-246.5</v>
      </c>
      <c r="H48" s="2">
        <f t="shared" si="4"/>
        <v>60762.25</v>
      </c>
    </row>
    <row r="49" spans="1:8" x14ac:dyDescent="0.25">
      <c r="A49" s="7">
        <v>100</v>
      </c>
      <c r="B49">
        <v>100</v>
      </c>
      <c r="C49" s="7">
        <v>100</v>
      </c>
      <c r="D49">
        <v>100</v>
      </c>
      <c r="E49" s="2">
        <f t="shared" si="1"/>
        <v>782</v>
      </c>
      <c r="F49" s="2">
        <f t="shared" si="2"/>
        <v>943.5</v>
      </c>
      <c r="G49" s="2">
        <f t="shared" si="3"/>
        <v>-161.5</v>
      </c>
      <c r="H49" s="2">
        <f t="shared" si="4"/>
        <v>26082.25</v>
      </c>
    </row>
    <row r="50" spans="1:8" x14ac:dyDescent="0.25">
      <c r="A50" s="7">
        <v>84.210526315789465</v>
      </c>
      <c r="B50">
        <v>0</v>
      </c>
      <c r="C50" s="7">
        <v>84.210526315789465</v>
      </c>
      <c r="D50">
        <v>0</v>
      </c>
      <c r="E50" s="2">
        <f t="shared" si="1"/>
        <v>226</v>
      </c>
      <c r="F50" s="2">
        <f t="shared" si="2"/>
        <v>199.5</v>
      </c>
      <c r="G50" s="2">
        <f t="shared" si="3"/>
        <v>26.5</v>
      </c>
      <c r="H50" s="2">
        <f t="shared" si="4"/>
        <v>702.25</v>
      </c>
    </row>
    <row r="51" spans="1:8" x14ac:dyDescent="0.25">
      <c r="A51" s="7">
        <v>100</v>
      </c>
      <c r="B51">
        <v>63.157894736842103</v>
      </c>
      <c r="C51" s="7">
        <v>100</v>
      </c>
      <c r="D51">
        <v>63.157894736842103</v>
      </c>
      <c r="E51" s="2">
        <f t="shared" si="1"/>
        <v>782</v>
      </c>
      <c r="F51" s="2">
        <f t="shared" si="2"/>
        <v>497</v>
      </c>
      <c r="G51" s="2">
        <f t="shared" si="3"/>
        <v>285</v>
      </c>
      <c r="H51" s="2">
        <f t="shared" si="4"/>
        <v>81225</v>
      </c>
    </row>
    <row r="52" spans="1:8" x14ac:dyDescent="0.25">
      <c r="A52" s="7">
        <v>90</v>
      </c>
      <c r="B52">
        <v>65</v>
      </c>
      <c r="C52" s="7">
        <v>90</v>
      </c>
      <c r="D52">
        <v>65</v>
      </c>
      <c r="E52" s="2">
        <f t="shared" si="1"/>
        <v>330</v>
      </c>
      <c r="F52" s="2">
        <f t="shared" si="2"/>
        <v>506</v>
      </c>
      <c r="G52" s="2">
        <f t="shared" si="3"/>
        <v>-176</v>
      </c>
      <c r="H52" s="2">
        <f t="shared" si="4"/>
        <v>30976</v>
      </c>
    </row>
    <row r="53" spans="1:8" x14ac:dyDescent="0.25">
      <c r="A53" s="7">
        <v>97.47899159663865</v>
      </c>
      <c r="B53">
        <v>73.103448275862064</v>
      </c>
      <c r="C53" s="7">
        <v>97.47899159663865</v>
      </c>
      <c r="D53">
        <v>73.103448275862064</v>
      </c>
      <c r="E53" s="2">
        <f t="shared" si="1"/>
        <v>516</v>
      </c>
      <c r="F53" s="2">
        <f t="shared" si="2"/>
        <v>588</v>
      </c>
      <c r="G53" s="2">
        <f t="shared" si="3"/>
        <v>-72</v>
      </c>
      <c r="H53" s="2">
        <f t="shared" si="4"/>
        <v>5184</v>
      </c>
    </row>
    <row r="54" spans="1:8" x14ac:dyDescent="0.25">
      <c r="A54" s="7">
        <v>100</v>
      </c>
      <c r="B54">
        <v>100</v>
      </c>
      <c r="C54" s="7">
        <v>100</v>
      </c>
      <c r="D54">
        <v>100</v>
      </c>
      <c r="E54" s="2">
        <f t="shared" si="1"/>
        <v>782</v>
      </c>
      <c r="F54" s="2">
        <f t="shared" si="2"/>
        <v>943.5</v>
      </c>
      <c r="G54" s="2">
        <f t="shared" si="3"/>
        <v>-161.5</v>
      </c>
      <c r="H54" s="2">
        <f t="shared" si="4"/>
        <v>26082.25</v>
      </c>
    </row>
    <row r="55" spans="1:8" x14ac:dyDescent="0.25">
      <c r="A55" s="7">
        <v>93.75</v>
      </c>
      <c r="B55">
        <v>94.029850746268664</v>
      </c>
      <c r="C55" s="7">
        <v>93.75</v>
      </c>
      <c r="D55">
        <v>94.029850746268664</v>
      </c>
      <c r="E55" s="2">
        <f t="shared" si="1"/>
        <v>414</v>
      </c>
      <c r="F55" s="2">
        <f t="shared" si="2"/>
        <v>852</v>
      </c>
      <c r="G55" s="2">
        <f t="shared" si="3"/>
        <v>-438</v>
      </c>
      <c r="H55" s="2">
        <f t="shared" si="4"/>
        <v>191844</v>
      </c>
    </row>
    <row r="56" spans="1:8" x14ac:dyDescent="0.25">
      <c r="A56" s="7">
        <v>100</v>
      </c>
      <c r="B56">
        <v>60.784313725490193</v>
      </c>
      <c r="C56" s="7">
        <v>100</v>
      </c>
      <c r="D56">
        <v>60.784313725490193</v>
      </c>
      <c r="E56" s="2">
        <f t="shared" si="1"/>
        <v>782</v>
      </c>
      <c r="F56" s="2">
        <f t="shared" si="2"/>
        <v>481.5</v>
      </c>
      <c r="G56" s="2">
        <f t="shared" si="3"/>
        <v>300.5</v>
      </c>
      <c r="H56" s="2">
        <f t="shared" si="4"/>
        <v>90300.25</v>
      </c>
    </row>
    <row r="57" spans="1:8" x14ac:dyDescent="0.25">
      <c r="A57" s="7">
        <v>100</v>
      </c>
      <c r="B57">
        <v>0</v>
      </c>
      <c r="C57" s="7">
        <v>100</v>
      </c>
      <c r="D57">
        <v>0</v>
      </c>
      <c r="E57" s="2">
        <f t="shared" si="1"/>
        <v>782</v>
      </c>
      <c r="F57" s="2">
        <f t="shared" si="2"/>
        <v>199.5</v>
      </c>
      <c r="G57" s="2">
        <f t="shared" si="3"/>
        <v>582.5</v>
      </c>
      <c r="H57" s="2">
        <f t="shared" ref="H57:H120" si="5">IF(C57="","",G57^2)</f>
        <v>339306.25</v>
      </c>
    </row>
    <row r="58" spans="1:8" x14ac:dyDescent="0.25">
      <c r="A58" s="7">
        <v>99.180327868852459</v>
      </c>
      <c r="B58">
        <v>74.712643678160916</v>
      </c>
      <c r="C58" s="7">
        <v>99.180327868852459</v>
      </c>
      <c r="D58">
        <v>74.712643678160916</v>
      </c>
      <c r="E58" s="2">
        <f t="shared" si="1"/>
        <v>558</v>
      </c>
      <c r="F58" s="2">
        <f t="shared" si="2"/>
        <v>604</v>
      </c>
      <c r="G58" s="2">
        <f t="shared" si="3"/>
        <v>-46</v>
      </c>
      <c r="H58" s="2">
        <f t="shared" si="5"/>
        <v>2116</v>
      </c>
    </row>
    <row r="59" spans="1:8" x14ac:dyDescent="0.25">
      <c r="A59" s="7">
        <v>0</v>
      </c>
      <c r="B59">
        <v>0</v>
      </c>
      <c r="C59" s="7">
        <v>0</v>
      </c>
      <c r="D59">
        <v>0</v>
      </c>
      <c r="E59" s="2">
        <f t="shared" si="1"/>
        <v>20</v>
      </c>
      <c r="F59" s="2">
        <f t="shared" si="2"/>
        <v>199.5</v>
      </c>
      <c r="G59" s="2">
        <f t="shared" si="3"/>
        <v>-179.5</v>
      </c>
      <c r="H59" s="2">
        <f t="shared" si="5"/>
        <v>32220.25</v>
      </c>
    </row>
    <row r="60" spans="1:8" x14ac:dyDescent="0.25">
      <c r="A60" s="7">
        <v>85.892116182572607</v>
      </c>
      <c r="B60">
        <v>79.352850539291225</v>
      </c>
      <c r="C60" s="7">
        <v>85.892116182572607</v>
      </c>
      <c r="D60">
        <v>79.352850539291225</v>
      </c>
      <c r="E60" s="2">
        <f t="shared" si="1"/>
        <v>249</v>
      </c>
      <c r="F60" s="2">
        <f t="shared" si="2"/>
        <v>645</v>
      </c>
      <c r="G60" s="2">
        <f t="shared" si="3"/>
        <v>-396</v>
      </c>
      <c r="H60" s="2">
        <f t="shared" si="5"/>
        <v>156816</v>
      </c>
    </row>
    <row r="61" spans="1:8" x14ac:dyDescent="0.25">
      <c r="A61" s="7">
        <v>100</v>
      </c>
      <c r="B61">
        <v>0</v>
      </c>
      <c r="C61" s="7">
        <v>100</v>
      </c>
      <c r="D61">
        <v>0</v>
      </c>
      <c r="E61" s="2">
        <f t="shared" si="1"/>
        <v>782</v>
      </c>
      <c r="F61" s="2">
        <f t="shared" si="2"/>
        <v>199.5</v>
      </c>
      <c r="G61" s="2">
        <f t="shared" si="3"/>
        <v>582.5</v>
      </c>
      <c r="H61" s="2">
        <f t="shared" si="5"/>
        <v>339306.25</v>
      </c>
    </row>
    <row r="62" spans="1:8" x14ac:dyDescent="0.25">
      <c r="A62" s="7">
        <v>100</v>
      </c>
      <c r="B62">
        <v>0</v>
      </c>
      <c r="C62" s="7">
        <v>100</v>
      </c>
      <c r="D62">
        <v>0</v>
      </c>
      <c r="E62" s="2">
        <f t="shared" si="1"/>
        <v>782</v>
      </c>
      <c r="F62" s="2">
        <f t="shared" si="2"/>
        <v>199.5</v>
      </c>
      <c r="G62" s="2">
        <f t="shared" si="3"/>
        <v>582.5</v>
      </c>
      <c r="H62" s="2">
        <f t="shared" si="5"/>
        <v>339306.25</v>
      </c>
    </row>
    <row r="63" spans="1:8" x14ac:dyDescent="0.25">
      <c r="A63" s="7">
        <v>85.714285714285708</v>
      </c>
      <c r="B63">
        <v>0</v>
      </c>
      <c r="C63" s="7">
        <v>85.714285714285708</v>
      </c>
      <c r="D63">
        <v>0</v>
      </c>
      <c r="E63" s="2">
        <f t="shared" si="1"/>
        <v>243</v>
      </c>
      <c r="F63" s="2">
        <f t="shared" si="2"/>
        <v>199.5</v>
      </c>
      <c r="G63" s="2">
        <f t="shared" si="3"/>
        <v>43.5</v>
      </c>
      <c r="H63" s="2">
        <f t="shared" si="5"/>
        <v>1892.25</v>
      </c>
    </row>
    <row r="64" spans="1:8" x14ac:dyDescent="0.25">
      <c r="A64" s="7">
        <v>100</v>
      </c>
      <c r="B64">
        <v>87.804878048780495</v>
      </c>
      <c r="C64" s="7">
        <v>100</v>
      </c>
      <c r="D64">
        <v>87.804878048780495</v>
      </c>
      <c r="E64" s="2">
        <f t="shared" si="1"/>
        <v>782</v>
      </c>
      <c r="F64" s="2">
        <f t="shared" si="2"/>
        <v>758</v>
      </c>
      <c r="G64" s="2">
        <f t="shared" si="3"/>
        <v>24</v>
      </c>
      <c r="H64" s="2">
        <f t="shared" si="5"/>
        <v>576</v>
      </c>
    </row>
    <row r="65" spans="1:8" x14ac:dyDescent="0.25">
      <c r="A65" s="7">
        <v>82.142857142857139</v>
      </c>
      <c r="B65">
        <v>0</v>
      </c>
      <c r="C65" s="7">
        <v>82.142857142857139</v>
      </c>
      <c r="D65">
        <v>0</v>
      </c>
      <c r="E65" s="2">
        <f t="shared" si="1"/>
        <v>195</v>
      </c>
      <c r="F65" s="2">
        <f t="shared" si="2"/>
        <v>199.5</v>
      </c>
      <c r="G65" s="2">
        <f t="shared" si="3"/>
        <v>-4.5</v>
      </c>
      <c r="H65" s="2">
        <f t="shared" si="5"/>
        <v>20.25</v>
      </c>
    </row>
    <row r="66" spans="1:8" x14ac:dyDescent="0.25">
      <c r="A66" s="7">
        <v>100</v>
      </c>
      <c r="B66">
        <v>100</v>
      </c>
      <c r="C66" s="7">
        <v>100</v>
      </c>
      <c r="D66">
        <v>100</v>
      </c>
      <c r="E66" s="2">
        <f t="shared" si="1"/>
        <v>782</v>
      </c>
      <c r="F66" s="2">
        <f t="shared" si="2"/>
        <v>943.5</v>
      </c>
      <c r="G66" s="2">
        <f t="shared" si="3"/>
        <v>-161.5</v>
      </c>
      <c r="H66" s="2">
        <f t="shared" si="5"/>
        <v>26082.25</v>
      </c>
    </row>
    <row r="67" spans="1:8" x14ac:dyDescent="0.25">
      <c r="A67" s="7">
        <v>100</v>
      </c>
      <c r="B67">
        <v>0</v>
      </c>
      <c r="C67" s="7">
        <v>100</v>
      </c>
      <c r="D67">
        <v>0</v>
      </c>
      <c r="E67" s="2">
        <f t="shared" ref="E67:E130" si="6">IF(C67="","",_xlfn.RANK.AVG(C67,C$2:C$1003,1))</f>
        <v>782</v>
      </c>
      <c r="F67" s="2">
        <f t="shared" ref="F67:F130" si="7">IF(D67="","",_xlfn.RANK.AVG(D67,D$2:D$1003,1))</f>
        <v>199.5</v>
      </c>
      <c r="G67" s="2">
        <f t="shared" ref="G67:G130" si="8">IF(C67="","",E67-F67)</f>
        <v>582.5</v>
      </c>
      <c r="H67" s="2">
        <f t="shared" si="5"/>
        <v>339306.25</v>
      </c>
    </row>
    <row r="68" spans="1:8" x14ac:dyDescent="0.25">
      <c r="A68" s="7">
        <v>91.83673469387756</v>
      </c>
      <c r="B68">
        <v>85.9375</v>
      </c>
      <c r="C68" s="7">
        <v>91.83673469387756</v>
      </c>
      <c r="D68">
        <v>85.9375</v>
      </c>
      <c r="E68" s="2">
        <f t="shared" si="6"/>
        <v>376</v>
      </c>
      <c r="F68" s="2">
        <f t="shared" si="7"/>
        <v>726</v>
      </c>
      <c r="G68" s="2">
        <f t="shared" si="8"/>
        <v>-350</v>
      </c>
      <c r="H68" s="2">
        <f t="shared" si="5"/>
        <v>122500</v>
      </c>
    </row>
    <row r="69" spans="1:8" x14ac:dyDescent="0.25">
      <c r="A69" s="7">
        <v>100</v>
      </c>
      <c r="B69">
        <v>0</v>
      </c>
      <c r="C69" s="7">
        <v>100</v>
      </c>
      <c r="D69">
        <v>0</v>
      </c>
      <c r="E69" s="2">
        <f t="shared" si="6"/>
        <v>782</v>
      </c>
      <c r="F69" s="2">
        <f t="shared" si="7"/>
        <v>199.5</v>
      </c>
      <c r="G69" s="2">
        <f t="shared" si="8"/>
        <v>582.5</v>
      </c>
      <c r="H69" s="2">
        <f t="shared" si="5"/>
        <v>339306.25</v>
      </c>
    </row>
    <row r="70" spans="1:8" x14ac:dyDescent="0.25">
      <c r="A70" s="7">
        <v>100</v>
      </c>
      <c r="B70">
        <v>0</v>
      </c>
      <c r="C70" s="7">
        <v>100</v>
      </c>
      <c r="D70">
        <v>0</v>
      </c>
      <c r="E70" s="2">
        <f t="shared" si="6"/>
        <v>782</v>
      </c>
      <c r="F70" s="2">
        <f t="shared" si="7"/>
        <v>199.5</v>
      </c>
      <c r="G70" s="2">
        <f t="shared" si="8"/>
        <v>582.5</v>
      </c>
      <c r="H70" s="2">
        <f t="shared" si="5"/>
        <v>339306.25</v>
      </c>
    </row>
    <row r="71" spans="1:8" x14ac:dyDescent="0.25">
      <c r="A71" s="7">
        <v>80</v>
      </c>
      <c r="B71">
        <v>0</v>
      </c>
      <c r="C71" s="7">
        <v>80</v>
      </c>
      <c r="D71">
        <v>0</v>
      </c>
      <c r="E71" s="2">
        <f t="shared" si="6"/>
        <v>179.5</v>
      </c>
      <c r="F71" s="2">
        <f t="shared" si="7"/>
        <v>199.5</v>
      </c>
      <c r="G71" s="2">
        <f t="shared" si="8"/>
        <v>-20</v>
      </c>
      <c r="H71" s="2">
        <f t="shared" si="5"/>
        <v>400</v>
      </c>
    </row>
    <row r="72" spans="1:8" x14ac:dyDescent="0.25">
      <c r="A72" s="7">
        <v>100</v>
      </c>
      <c r="B72">
        <v>0</v>
      </c>
      <c r="C72" s="7">
        <v>100</v>
      </c>
      <c r="D72">
        <v>0</v>
      </c>
      <c r="E72" s="2">
        <f t="shared" si="6"/>
        <v>782</v>
      </c>
      <c r="F72" s="2">
        <f t="shared" si="7"/>
        <v>199.5</v>
      </c>
      <c r="G72" s="2">
        <f t="shared" si="8"/>
        <v>582.5</v>
      </c>
      <c r="H72" s="2">
        <f t="shared" si="5"/>
        <v>339306.25</v>
      </c>
    </row>
    <row r="73" spans="1:8" x14ac:dyDescent="0.25">
      <c r="A73" s="7">
        <v>73.80952380952381</v>
      </c>
      <c r="B73">
        <v>62.5</v>
      </c>
      <c r="C73" s="7">
        <v>73.80952380952381</v>
      </c>
      <c r="D73">
        <v>62.5</v>
      </c>
      <c r="E73" s="2">
        <f t="shared" si="6"/>
        <v>125</v>
      </c>
      <c r="F73" s="2">
        <f t="shared" si="7"/>
        <v>492</v>
      </c>
      <c r="G73" s="2">
        <f t="shared" si="8"/>
        <v>-367</v>
      </c>
      <c r="H73" s="2">
        <f t="shared" si="5"/>
        <v>134689</v>
      </c>
    </row>
    <row r="74" spans="1:8" x14ac:dyDescent="0.25">
      <c r="A74" s="7">
        <v>91.666666666666657</v>
      </c>
      <c r="B74">
        <v>100</v>
      </c>
      <c r="C74" s="7">
        <v>91.666666666666657</v>
      </c>
      <c r="D74">
        <v>100</v>
      </c>
      <c r="E74" s="2">
        <f t="shared" si="6"/>
        <v>368.5</v>
      </c>
      <c r="F74" s="2">
        <f t="shared" si="7"/>
        <v>943.5</v>
      </c>
      <c r="G74" s="2">
        <f t="shared" si="8"/>
        <v>-575</v>
      </c>
      <c r="H74" s="2">
        <f t="shared" si="5"/>
        <v>330625</v>
      </c>
    </row>
    <row r="75" spans="1:8" x14ac:dyDescent="0.25">
      <c r="A75" s="7">
        <v>100</v>
      </c>
      <c r="B75">
        <v>0</v>
      </c>
      <c r="C75" s="7">
        <v>100</v>
      </c>
      <c r="D75">
        <v>0</v>
      </c>
      <c r="E75" s="2">
        <f t="shared" si="6"/>
        <v>782</v>
      </c>
      <c r="F75" s="2">
        <f t="shared" si="7"/>
        <v>199.5</v>
      </c>
      <c r="G75" s="2">
        <f t="shared" si="8"/>
        <v>582.5</v>
      </c>
      <c r="H75" s="2">
        <f t="shared" si="5"/>
        <v>339306.25</v>
      </c>
    </row>
    <row r="76" spans="1:8" x14ac:dyDescent="0.25">
      <c r="A76" s="7">
        <v>90.909090909090907</v>
      </c>
      <c r="B76">
        <v>68.396226415094347</v>
      </c>
      <c r="C76" s="7">
        <v>90.909090909090907</v>
      </c>
      <c r="D76">
        <v>68.396226415094347</v>
      </c>
      <c r="E76" s="2">
        <f t="shared" si="6"/>
        <v>349</v>
      </c>
      <c r="F76" s="2">
        <f t="shared" si="7"/>
        <v>538</v>
      </c>
      <c r="G76" s="2">
        <f t="shared" si="8"/>
        <v>-189</v>
      </c>
      <c r="H76" s="2">
        <f t="shared" si="5"/>
        <v>35721</v>
      </c>
    </row>
    <row r="77" spans="1:8" x14ac:dyDescent="0.25">
      <c r="A77" s="7">
        <v>100</v>
      </c>
      <c r="B77">
        <v>0</v>
      </c>
      <c r="C77" s="7">
        <v>100</v>
      </c>
      <c r="D77">
        <v>0</v>
      </c>
      <c r="E77" s="2">
        <f t="shared" si="6"/>
        <v>782</v>
      </c>
      <c r="F77" s="2">
        <f t="shared" si="7"/>
        <v>199.5</v>
      </c>
      <c r="G77" s="2">
        <f t="shared" si="8"/>
        <v>582.5</v>
      </c>
      <c r="H77" s="2">
        <f t="shared" si="5"/>
        <v>339306.25</v>
      </c>
    </row>
    <row r="78" spans="1:8" x14ac:dyDescent="0.25">
      <c r="A78" s="7">
        <v>60</v>
      </c>
      <c r="B78">
        <v>0</v>
      </c>
      <c r="C78" s="7">
        <v>60</v>
      </c>
      <c r="D78">
        <v>0</v>
      </c>
      <c r="E78" s="2">
        <f t="shared" si="6"/>
        <v>88.5</v>
      </c>
      <c r="F78" s="2">
        <f t="shared" si="7"/>
        <v>199.5</v>
      </c>
      <c r="G78" s="2">
        <f t="shared" si="8"/>
        <v>-111</v>
      </c>
      <c r="H78" s="2">
        <f t="shared" si="5"/>
        <v>12321</v>
      </c>
    </row>
    <row r="79" spans="1:8" x14ac:dyDescent="0.25">
      <c r="A79" s="7">
        <v>79.411764705882348</v>
      </c>
      <c r="B79">
        <v>75</v>
      </c>
      <c r="C79" s="7">
        <v>79.411764705882348</v>
      </c>
      <c r="D79">
        <v>75</v>
      </c>
      <c r="E79" s="2">
        <f t="shared" si="6"/>
        <v>171.5</v>
      </c>
      <c r="F79" s="2">
        <f t="shared" si="7"/>
        <v>610</v>
      </c>
      <c r="G79" s="2">
        <f t="shared" si="8"/>
        <v>-438.5</v>
      </c>
      <c r="H79" s="2">
        <f t="shared" si="5"/>
        <v>192282.25</v>
      </c>
    </row>
    <row r="80" spans="1:8" x14ac:dyDescent="0.25">
      <c r="A80" s="7">
        <v>100</v>
      </c>
      <c r="B80">
        <v>0</v>
      </c>
      <c r="C80" s="7">
        <v>100</v>
      </c>
      <c r="D80">
        <v>0</v>
      </c>
      <c r="E80" s="2">
        <f t="shared" si="6"/>
        <v>782</v>
      </c>
      <c r="F80" s="2">
        <f t="shared" si="7"/>
        <v>199.5</v>
      </c>
      <c r="G80" s="2">
        <f t="shared" si="8"/>
        <v>582.5</v>
      </c>
      <c r="H80" s="2">
        <f t="shared" si="5"/>
        <v>339306.25</v>
      </c>
    </row>
    <row r="81" spans="1:8" x14ac:dyDescent="0.25">
      <c r="A81" s="7">
        <v>80</v>
      </c>
      <c r="B81">
        <v>80</v>
      </c>
      <c r="C81" s="7">
        <v>80</v>
      </c>
      <c r="D81">
        <v>80</v>
      </c>
      <c r="E81" s="2">
        <f t="shared" si="6"/>
        <v>179.5</v>
      </c>
      <c r="F81" s="2">
        <f t="shared" si="7"/>
        <v>649.5</v>
      </c>
      <c r="G81" s="2">
        <f t="shared" si="8"/>
        <v>-470</v>
      </c>
      <c r="H81" s="2">
        <f t="shared" si="5"/>
        <v>220900</v>
      </c>
    </row>
    <row r="82" spans="1:8" x14ac:dyDescent="0.25">
      <c r="A82" s="7">
        <v>96.875</v>
      </c>
      <c r="B82">
        <v>72.388059701492537</v>
      </c>
      <c r="C82" s="7">
        <v>96.875</v>
      </c>
      <c r="D82">
        <v>72.388059701492537</v>
      </c>
      <c r="E82" s="2">
        <f t="shared" si="6"/>
        <v>499</v>
      </c>
      <c r="F82" s="2">
        <f t="shared" si="7"/>
        <v>576</v>
      </c>
      <c r="G82" s="2">
        <f t="shared" si="8"/>
        <v>-77</v>
      </c>
      <c r="H82" s="2">
        <f t="shared" si="5"/>
        <v>5929</v>
      </c>
    </row>
    <row r="83" spans="1:8" x14ac:dyDescent="0.25">
      <c r="A83" s="7">
        <v>75.609756097560975</v>
      </c>
      <c r="B83">
        <v>57.142857142857139</v>
      </c>
      <c r="C83" s="7">
        <v>75.609756097560975</v>
      </c>
      <c r="D83">
        <v>57.142857142857139</v>
      </c>
      <c r="E83" s="2">
        <f t="shared" si="6"/>
        <v>149</v>
      </c>
      <c r="F83" s="2">
        <f t="shared" si="7"/>
        <v>459</v>
      </c>
      <c r="G83" s="2">
        <f t="shared" si="8"/>
        <v>-310</v>
      </c>
      <c r="H83" s="2">
        <f t="shared" si="5"/>
        <v>96100</v>
      </c>
    </row>
    <row r="84" spans="1:8" x14ac:dyDescent="0.25">
      <c r="A84" s="7">
        <v>87.5</v>
      </c>
      <c r="B84">
        <v>75</v>
      </c>
      <c r="C84" s="7">
        <v>87.5</v>
      </c>
      <c r="D84">
        <v>75</v>
      </c>
      <c r="E84" s="2">
        <f t="shared" si="6"/>
        <v>279.5</v>
      </c>
      <c r="F84" s="2">
        <f t="shared" si="7"/>
        <v>610</v>
      </c>
      <c r="G84" s="2">
        <f t="shared" si="8"/>
        <v>-330.5</v>
      </c>
      <c r="H84" s="2">
        <f t="shared" si="5"/>
        <v>109230.25</v>
      </c>
    </row>
    <row r="85" spans="1:8" x14ac:dyDescent="0.25">
      <c r="A85" s="7">
        <v>33.333333333333329</v>
      </c>
      <c r="B85">
        <v>0</v>
      </c>
      <c r="C85" s="7">
        <v>33.333333333333329</v>
      </c>
      <c r="D85">
        <v>0</v>
      </c>
      <c r="E85" s="2">
        <f t="shared" si="6"/>
        <v>48.5</v>
      </c>
      <c r="F85" s="2">
        <f t="shared" si="7"/>
        <v>199.5</v>
      </c>
      <c r="G85" s="2">
        <f t="shared" si="8"/>
        <v>-151</v>
      </c>
      <c r="H85" s="2">
        <f t="shared" si="5"/>
        <v>22801</v>
      </c>
    </row>
    <row r="86" spans="1:8" x14ac:dyDescent="0.25">
      <c r="A86" s="7">
        <v>100</v>
      </c>
      <c r="B86">
        <v>0</v>
      </c>
      <c r="C86" s="7">
        <v>100</v>
      </c>
      <c r="D86">
        <v>0</v>
      </c>
      <c r="E86" s="2">
        <f t="shared" si="6"/>
        <v>782</v>
      </c>
      <c r="F86" s="2">
        <f t="shared" si="7"/>
        <v>199.5</v>
      </c>
      <c r="G86" s="2">
        <f t="shared" si="8"/>
        <v>582.5</v>
      </c>
      <c r="H86" s="2">
        <f t="shared" si="5"/>
        <v>339306.25</v>
      </c>
    </row>
    <row r="87" spans="1:8" x14ac:dyDescent="0.25">
      <c r="A87" s="7">
        <v>0</v>
      </c>
      <c r="B87">
        <v>0</v>
      </c>
      <c r="C87" s="7">
        <v>0</v>
      </c>
      <c r="D87">
        <v>0</v>
      </c>
      <c r="E87" s="2">
        <f t="shared" si="6"/>
        <v>20</v>
      </c>
      <c r="F87" s="2">
        <f t="shared" si="7"/>
        <v>199.5</v>
      </c>
      <c r="G87" s="2">
        <f t="shared" si="8"/>
        <v>-179.5</v>
      </c>
      <c r="H87" s="2">
        <f t="shared" si="5"/>
        <v>32220.25</v>
      </c>
    </row>
    <row r="88" spans="1:8" x14ac:dyDescent="0.25">
      <c r="A88" s="7">
        <v>100</v>
      </c>
      <c r="B88">
        <v>100</v>
      </c>
      <c r="C88" s="7">
        <v>100</v>
      </c>
      <c r="D88">
        <v>100</v>
      </c>
      <c r="E88" s="2">
        <f t="shared" si="6"/>
        <v>782</v>
      </c>
      <c r="F88" s="2">
        <f t="shared" si="7"/>
        <v>943.5</v>
      </c>
      <c r="G88" s="2">
        <f t="shared" si="8"/>
        <v>-161.5</v>
      </c>
      <c r="H88" s="2">
        <f t="shared" si="5"/>
        <v>26082.25</v>
      </c>
    </row>
    <row r="89" spans="1:8" x14ac:dyDescent="0.25">
      <c r="A89" s="7">
        <v>99.701492537313428</v>
      </c>
      <c r="B89">
        <v>75</v>
      </c>
      <c r="C89" s="7">
        <v>99.701492537313428</v>
      </c>
      <c r="D89">
        <v>75</v>
      </c>
      <c r="E89" s="2">
        <f t="shared" si="6"/>
        <v>561</v>
      </c>
      <c r="F89" s="2">
        <f t="shared" si="7"/>
        <v>610</v>
      </c>
      <c r="G89" s="2">
        <f t="shared" si="8"/>
        <v>-49</v>
      </c>
      <c r="H89" s="2">
        <f t="shared" si="5"/>
        <v>2401</v>
      </c>
    </row>
    <row r="90" spans="1:8" x14ac:dyDescent="0.25">
      <c r="A90" s="7">
        <v>98.75</v>
      </c>
      <c r="B90">
        <v>97.872340425531917</v>
      </c>
      <c r="C90" s="7">
        <v>98.75</v>
      </c>
      <c r="D90">
        <v>97.872340425531917</v>
      </c>
      <c r="E90" s="2">
        <f t="shared" si="6"/>
        <v>549</v>
      </c>
      <c r="F90" s="2">
        <f t="shared" si="7"/>
        <v>880</v>
      </c>
      <c r="G90" s="2">
        <f t="shared" si="8"/>
        <v>-331</v>
      </c>
      <c r="H90" s="2">
        <f t="shared" si="5"/>
        <v>109561</v>
      </c>
    </row>
    <row r="91" spans="1:8" x14ac:dyDescent="0.25">
      <c r="A91" s="7">
        <v>83.2</v>
      </c>
      <c r="B91">
        <v>57.142857142857139</v>
      </c>
      <c r="C91" s="7">
        <v>83.2</v>
      </c>
      <c r="D91">
        <v>57.142857142857139</v>
      </c>
      <c r="E91" s="2">
        <f t="shared" si="6"/>
        <v>206</v>
      </c>
      <c r="F91" s="2">
        <f t="shared" si="7"/>
        <v>459</v>
      </c>
      <c r="G91" s="2">
        <f t="shared" si="8"/>
        <v>-253</v>
      </c>
      <c r="H91" s="2">
        <f t="shared" si="5"/>
        <v>64009</v>
      </c>
    </row>
    <row r="92" spans="1:8" x14ac:dyDescent="0.25">
      <c r="A92" s="7">
        <v>84.210526315789465</v>
      </c>
      <c r="B92">
        <v>37.5</v>
      </c>
      <c r="C92" s="7">
        <v>84.210526315789465</v>
      </c>
      <c r="D92">
        <v>37.5</v>
      </c>
      <c r="E92" s="2">
        <f t="shared" si="6"/>
        <v>226</v>
      </c>
      <c r="F92" s="2">
        <f t="shared" si="7"/>
        <v>411</v>
      </c>
      <c r="G92" s="2">
        <f t="shared" si="8"/>
        <v>-185</v>
      </c>
      <c r="H92" s="2">
        <f t="shared" si="5"/>
        <v>34225</v>
      </c>
    </row>
    <row r="93" spans="1:8" x14ac:dyDescent="0.25">
      <c r="A93" s="7">
        <v>100</v>
      </c>
      <c r="B93">
        <v>0</v>
      </c>
      <c r="C93" s="7">
        <v>100</v>
      </c>
      <c r="D93">
        <v>0</v>
      </c>
      <c r="E93" s="2">
        <f t="shared" si="6"/>
        <v>782</v>
      </c>
      <c r="F93" s="2">
        <f t="shared" si="7"/>
        <v>199.5</v>
      </c>
      <c r="G93" s="2">
        <f t="shared" si="8"/>
        <v>582.5</v>
      </c>
      <c r="H93" s="2">
        <f t="shared" si="5"/>
        <v>339306.25</v>
      </c>
    </row>
    <row r="94" spans="1:8" x14ac:dyDescent="0.25">
      <c r="A94" s="7">
        <v>85.714285714285708</v>
      </c>
      <c r="B94">
        <v>55.555555555555557</v>
      </c>
      <c r="C94" s="7">
        <v>85.714285714285708</v>
      </c>
      <c r="D94">
        <v>55.555555555555557</v>
      </c>
      <c r="E94" s="2">
        <f t="shared" si="6"/>
        <v>243</v>
      </c>
      <c r="F94" s="2">
        <f t="shared" si="7"/>
        <v>452</v>
      </c>
      <c r="G94" s="2">
        <f t="shared" si="8"/>
        <v>-209</v>
      </c>
      <c r="H94" s="2">
        <f t="shared" si="5"/>
        <v>43681</v>
      </c>
    </row>
    <row r="95" spans="1:8" x14ac:dyDescent="0.25">
      <c r="A95" s="7">
        <v>100</v>
      </c>
      <c r="B95">
        <v>100</v>
      </c>
      <c r="C95" s="7">
        <v>100</v>
      </c>
      <c r="D95">
        <v>100</v>
      </c>
      <c r="E95" s="2">
        <f t="shared" si="6"/>
        <v>782</v>
      </c>
      <c r="F95" s="2">
        <f t="shared" si="7"/>
        <v>943.5</v>
      </c>
      <c r="G95" s="2">
        <f t="shared" si="8"/>
        <v>-161.5</v>
      </c>
      <c r="H95" s="2">
        <f t="shared" si="5"/>
        <v>26082.25</v>
      </c>
    </row>
    <row r="96" spans="1:8" x14ac:dyDescent="0.25">
      <c r="A96" s="7">
        <v>100</v>
      </c>
      <c r="B96">
        <v>0</v>
      </c>
      <c r="C96" s="7">
        <v>100</v>
      </c>
      <c r="D96">
        <v>0</v>
      </c>
      <c r="E96" s="2">
        <f t="shared" si="6"/>
        <v>782</v>
      </c>
      <c r="F96" s="2">
        <f t="shared" si="7"/>
        <v>199.5</v>
      </c>
      <c r="G96" s="2">
        <f t="shared" si="8"/>
        <v>582.5</v>
      </c>
      <c r="H96" s="2">
        <f t="shared" si="5"/>
        <v>339306.25</v>
      </c>
    </row>
    <row r="97" spans="1:8" x14ac:dyDescent="0.25">
      <c r="A97" s="7">
        <v>100</v>
      </c>
      <c r="B97">
        <v>100</v>
      </c>
      <c r="C97" s="7">
        <v>100</v>
      </c>
      <c r="D97">
        <v>100</v>
      </c>
      <c r="E97" s="2">
        <f t="shared" si="6"/>
        <v>782</v>
      </c>
      <c r="F97" s="2">
        <f t="shared" si="7"/>
        <v>943.5</v>
      </c>
      <c r="G97" s="2">
        <f t="shared" si="8"/>
        <v>-161.5</v>
      </c>
      <c r="H97" s="2">
        <f t="shared" si="5"/>
        <v>26082.25</v>
      </c>
    </row>
    <row r="98" spans="1:8" x14ac:dyDescent="0.25">
      <c r="A98" s="7">
        <v>100</v>
      </c>
      <c r="B98">
        <v>90</v>
      </c>
      <c r="C98" s="7">
        <v>100</v>
      </c>
      <c r="D98">
        <v>90</v>
      </c>
      <c r="E98" s="2">
        <f t="shared" si="6"/>
        <v>782</v>
      </c>
      <c r="F98" s="2">
        <f t="shared" si="7"/>
        <v>800</v>
      </c>
      <c r="G98" s="2">
        <f t="shared" si="8"/>
        <v>-18</v>
      </c>
      <c r="H98" s="2">
        <f t="shared" si="5"/>
        <v>324</v>
      </c>
    </row>
    <row r="99" spans="1:8" x14ac:dyDescent="0.25">
      <c r="A99" s="7">
        <v>100</v>
      </c>
      <c r="B99">
        <v>100</v>
      </c>
      <c r="C99" s="7">
        <v>100</v>
      </c>
      <c r="D99">
        <v>100</v>
      </c>
      <c r="E99" s="2">
        <f t="shared" si="6"/>
        <v>782</v>
      </c>
      <c r="F99" s="2">
        <f t="shared" si="7"/>
        <v>943.5</v>
      </c>
      <c r="G99" s="2">
        <f t="shared" si="8"/>
        <v>-161.5</v>
      </c>
      <c r="H99" s="2">
        <f t="shared" si="5"/>
        <v>26082.25</v>
      </c>
    </row>
    <row r="100" spans="1:8" x14ac:dyDescent="0.25">
      <c r="A100" s="7">
        <v>61.53846153846154</v>
      </c>
      <c r="B100">
        <v>50.259067357512954</v>
      </c>
      <c r="C100" s="7">
        <v>61.53846153846154</v>
      </c>
      <c r="D100">
        <v>50.259067357512954</v>
      </c>
      <c r="E100" s="2">
        <f t="shared" si="6"/>
        <v>97</v>
      </c>
      <c r="F100" s="2">
        <f t="shared" si="7"/>
        <v>437.5</v>
      </c>
      <c r="G100" s="2">
        <f t="shared" si="8"/>
        <v>-340.5</v>
      </c>
      <c r="H100" s="2">
        <f t="shared" si="5"/>
        <v>115940.25</v>
      </c>
    </row>
    <row r="101" spans="1:8" x14ac:dyDescent="0.25">
      <c r="A101" s="7">
        <v>100</v>
      </c>
      <c r="B101">
        <v>94.73684210526315</v>
      </c>
      <c r="C101" s="7">
        <v>100</v>
      </c>
      <c r="D101">
        <v>94.73684210526315</v>
      </c>
      <c r="E101" s="2">
        <f t="shared" si="6"/>
        <v>782</v>
      </c>
      <c r="F101" s="2">
        <f t="shared" si="7"/>
        <v>858</v>
      </c>
      <c r="G101" s="2">
        <f t="shared" si="8"/>
        <v>-76</v>
      </c>
      <c r="H101" s="2">
        <f t="shared" si="5"/>
        <v>5776</v>
      </c>
    </row>
    <row r="102" spans="1:8" x14ac:dyDescent="0.25">
      <c r="A102" s="7">
        <v>100</v>
      </c>
      <c r="B102">
        <v>90</v>
      </c>
      <c r="C102" s="7">
        <v>100</v>
      </c>
      <c r="D102">
        <v>90</v>
      </c>
      <c r="E102" s="2">
        <f t="shared" si="6"/>
        <v>782</v>
      </c>
      <c r="F102" s="2">
        <f t="shared" si="7"/>
        <v>800</v>
      </c>
      <c r="G102" s="2">
        <f t="shared" si="8"/>
        <v>-18</v>
      </c>
      <c r="H102" s="2">
        <f t="shared" si="5"/>
        <v>324</v>
      </c>
    </row>
    <row r="103" spans="1:8" x14ac:dyDescent="0.25">
      <c r="A103" s="7">
        <v>100</v>
      </c>
      <c r="B103">
        <v>0</v>
      </c>
      <c r="C103" s="7">
        <v>100</v>
      </c>
      <c r="D103">
        <v>0</v>
      </c>
      <c r="E103" s="2">
        <f t="shared" si="6"/>
        <v>782</v>
      </c>
      <c r="F103" s="2">
        <f t="shared" si="7"/>
        <v>199.5</v>
      </c>
      <c r="G103" s="2">
        <f t="shared" si="8"/>
        <v>582.5</v>
      </c>
      <c r="H103" s="2">
        <f t="shared" si="5"/>
        <v>339306.25</v>
      </c>
    </row>
    <row r="104" spans="1:8" x14ac:dyDescent="0.25">
      <c r="A104" s="7">
        <v>87.5</v>
      </c>
      <c r="B104">
        <v>100</v>
      </c>
      <c r="C104" s="7">
        <v>87.5</v>
      </c>
      <c r="D104">
        <v>100</v>
      </c>
      <c r="E104" s="2">
        <f t="shared" si="6"/>
        <v>279.5</v>
      </c>
      <c r="F104" s="2">
        <f t="shared" si="7"/>
        <v>943.5</v>
      </c>
      <c r="G104" s="2">
        <f t="shared" si="8"/>
        <v>-664</v>
      </c>
      <c r="H104" s="2">
        <f t="shared" si="5"/>
        <v>440896</v>
      </c>
    </row>
    <row r="105" spans="1:8" x14ac:dyDescent="0.25">
      <c r="A105" s="7">
        <v>100</v>
      </c>
      <c r="B105">
        <v>100</v>
      </c>
      <c r="C105" s="7">
        <v>100</v>
      </c>
      <c r="D105">
        <v>100</v>
      </c>
      <c r="E105" s="2">
        <f t="shared" si="6"/>
        <v>782</v>
      </c>
      <c r="F105" s="2">
        <f t="shared" si="7"/>
        <v>943.5</v>
      </c>
      <c r="G105" s="2">
        <f t="shared" si="8"/>
        <v>-161.5</v>
      </c>
      <c r="H105" s="2">
        <f t="shared" si="5"/>
        <v>26082.25</v>
      </c>
    </row>
    <row r="106" spans="1:8" x14ac:dyDescent="0.25">
      <c r="A106" s="7">
        <v>100</v>
      </c>
      <c r="B106">
        <v>100</v>
      </c>
      <c r="C106" s="7">
        <v>100</v>
      </c>
      <c r="D106">
        <v>100</v>
      </c>
      <c r="E106" s="2">
        <f t="shared" si="6"/>
        <v>782</v>
      </c>
      <c r="F106" s="2">
        <f t="shared" si="7"/>
        <v>943.5</v>
      </c>
      <c r="G106" s="2">
        <f t="shared" si="8"/>
        <v>-161.5</v>
      </c>
      <c r="H106" s="2">
        <f t="shared" si="5"/>
        <v>26082.25</v>
      </c>
    </row>
    <row r="107" spans="1:8" x14ac:dyDescent="0.25">
      <c r="A107" s="7">
        <v>95.454545454545453</v>
      </c>
      <c r="B107">
        <v>100</v>
      </c>
      <c r="C107" s="7">
        <v>95.454545454545453</v>
      </c>
      <c r="D107">
        <v>100</v>
      </c>
      <c r="E107" s="2">
        <f t="shared" si="6"/>
        <v>455.5</v>
      </c>
      <c r="F107" s="2">
        <f t="shared" si="7"/>
        <v>943.5</v>
      </c>
      <c r="G107" s="2">
        <f t="shared" si="8"/>
        <v>-488</v>
      </c>
      <c r="H107" s="2">
        <f t="shared" si="5"/>
        <v>238144</v>
      </c>
    </row>
    <row r="108" spans="1:8" x14ac:dyDescent="0.25">
      <c r="A108" s="7">
        <v>94.230769230769226</v>
      </c>
      <c r="B108">
        <v>89.0625</v>
      </c>
      <c r="C108" s="7">
        <v>94.230769230769226</v>
      </c>
      <c r="D108">
        <v>89.0625</v>
      </c>
      <c r="E108" s="2">
        <f t="shared" si="6"/>
        <v>423</v>
      </c>
      <c r="F108" s="2">
        <f t="shared" si="7"/>
        <v>784</v>
      </c>
      <c r="G108" s="2">
        <f t="shared" si="8"/>
        <v>-361</v>
      </c>
      <c r="H108" s="2">
        <f t="shared" si="5"/>
        <v>130321</v>
      </c>
    </row>
    <row r="109" spans="1:8" x14ac:dyDescent="0.25">
      <c r="A109" s="7">
        <v>89.65517241379311</v>
      </c>
      <c r="B109">
        <v>88.888888888888886</v>
      </c>
      <c r="C109" s="7">
        <v>89.65517241379311</v>
      </c>
      <c r="D109">
        <v>88.888888888888886</v>
      </c>
      <c r="E109" s="2">
        <f t="shared" si="6"/>
        <v>319.5</v>
      </c>
      <c r="F109" s="2">
        <f t="shared" si="7"/>
        <v>777.5</v>
      </c>
      <c r="G109" s="2">
        <f t="shared" si="8"/>
        <v>-458</v>
      </c>
      <c r="H109" s="2">
        <f t="shared" si="5"/>
        <v>209764</v>
      </c>
    </row>
    <row r="110" spans="1:8" x14ac:dyDescent="0.25">
      <c r="A110" s="7">
        <v>75.675675675675677</v>
      </c>
      <c r="B110">
        <v>56.25</v>
      </c>
      <c r="C110" s="7">
        <v>75.675675675675677</v>
      </c>
      <c r="D110">
        <v>56.25</v>
      </c>
      <c r="E110" s="2">
        <f t="shared" si="6"/>
        <v>150</v>
      </c>
      <c r="F110" s="2">
        <f t="shared" si="7"/>
        <v>454</v>
      </c>
      <c r="G110" s="2">
        <f t="shared" si="8"/>
        <v>-304</v>
      </c>
      <c r="H110" s="2">
        <f t="shared" si="5"/>
        <v>92416</v>
      </c>
    </row>
    <row r="111" spans="1:8" x14ac:dyDescent="0.25">
      <c r="A111" s="7">
        <v>75</v>
      </c>
      <c r="B111">
        <v>61.904761904761905</v>
      </c>
      <c r="C111" s="7">
        <v>75</v>
      </c>
      <c r="D111">
        <v>61.904761904761905</v>
      </c>
      <c r="E111" s="2">
        <f t="shared" si="6"/>
        <v>139</v>
      </c>
      <c r="F111" s="2">
        <f t="shared" si="7"/>
        <v>487</v>
      </c>
      <c r="G111" s="2">
        <f t="shared" si="8"/>
        <v>-348</v>
      </c>
      <c r="H111" s="2">
        <f t="shared" si="5"/>
        <v>121104</v>
      </c>
    </row>
    <row r="112" spans="1:8" x14ac:dyDescent="0.25">
      <c r="A112" s="7">
        <v>100</v>
      </c>
      <c r="B112">
        <v>90.476190476190482</v>
      </c>
      <c r="C112" s="7">
        <v>100</v>
      </c>
      <c r="D112">
        <v>90.476190476190482</v>
      </c>
      <c r="E112" s="2">
        <f t="shared" si="6"/>
        <v>782</v>
      </c>
      <c r="F112" s="2">
        <f t="shared" si="7"/>
        <v>808.5</v>
      </c>
      <c r="G112" s="2">
        <f t="shared" si="8"/>
        <v>-26.5</v>
      </c>
      <c r="H112" s="2">
        <f t="shared" si="5"/>
        <v>702.25</v>
      </c>
    </row>
    <row r="113" spans="1:8" x14ac:dyDescent="0.25">
      <c r="A113" s="7">
        <v>100</v>
      </c>
      <c r="B113">
        <v>0</v>
      </c>
      <c r="C113" s="7">
        <v>100</v>
      </c>
      <c r="D113">
        <v>0</v>
      </c>
      <c r="E113" s="2">
        <f t="shared" si="6"/>
        <v>782</v>
      </c>
      <c r="F113" s="2">
        <f t="shared" si="7"/>
        <v>199.5</v>
      </c>
      <c r="G113" s="2">
        <f t="shared" si="8"/>
        <v>582.5</v>
      </c>
      <c r="H113" s="2">
        <f t="shared" si="5"/>
        <v>339306.25</v>
      </c>
    </row>
    <row r="114" spans="1:8" x14ac:dyDescent="0.25">
      <c r="A114" s="7">
        <v>91.428571428571431</v>
      </c>
      <c r="B114">
        <v>69.230769230769226</v>
      </c>
      <c r="C114" s="7">
        <v>91.428571428571431</v>
      </c>
      <c r="D114">
        <v>69.230769230769226</v>
      </c>
      <c r="E114" s="2">
        <f t="shared" si="6"/>
        <v>360.5</v>
      </c>
      <c r="F114" s="2">
        <f t="shared" si="7"/>
        <v>547.5</v>
      </c>
      <c r="G114" s="2">
        <f t="shared" si="8"/>
        <v>-187</v>
      </c>
      <c r="H114" s="2">
        <f t="shared" si="5"/>
        <v>34969</v>
      </c>
    </row>
    <row r="115" spans="1:8" x14ac:dyDescent="0.25">
      <c r="A115" s="7">
        <v>86.956521739130437</v>
      </c>
      <c r="B115">
        <v>85.714285714285708</v>
      </c>
      <c r="C115" s="7">
        <v>86.956521739130437</v>
      </c>
      <c r="D115">
        <v>85.714285714285708</v>
      </c>
      <c r="E115" s="2">
        <f t="shared" si="6"/>
        <v>268.5</v>
      </c>
      <c r="F115" s="2">
        <f t="shared" si="7"/>
        <v>720</v>
      </c>
      <c r="G115" s="2">
        <f t="shared" si="8"/>
        <v>-451.5</v>
      </c>
      <c r="H115" s="2">
        <f t="shared" si="5"/>
        <v>203852.25</v>
      </c>
    </row>
    <row r="116" spans="1:8" x14ac:dyDescent="0.25">
      <c r="A116" s="7">
        <v>82.857142857142861</v>
      </c>
      <c r="B116">
        <v>65</v>
      </c>
      <c r="C116" s="7">
        <v>82.857142857142861</v>
      </c>
      <c r="D116">
        <v>65</v>
      </c>
      <c r="E116" s="2">
        <f t="shared" si="6"/>
        <v>203</v>
      </c>
      <c r="F116" s="2">
        <f t="shared" si="7"/>
        <v>506</v>
      </c>
      <c r="G116" s="2">
        <f t="shared" si="8"/>
        <v>-303</v>
      </c>
      <c r="H116" s="2">
        <f t="shared" si="5"/>
        <v>91809</v>
      </c>
    </row>
    <row r="117" spans="1:8" x14ac:dyDescent="0.25">
      <c r="A117" s="7">
        <v>74.074074074074076</v>
      </c>
      <c r="B117">
        <v>70.833333333333343</v>
      </c>
      <c r="C117" s="7">
        <v>74.074074074074076</v>
      </c>
      <c r="D117">
        <v>70.833333333333343</v>
      </c>
      <c r="E117" s="2">
        <f t="shared" si="6"/>
        <v>127</v>
      </c>
      <c r="F117" s="2">
        <f t="shared" si="7"/>
        <v>561</v>
      </c>
      <c r="G117" s="2">
        <f t="shared" si="8"/>
        <v>-434</v>
      </c>
      <c r="H117" s="2">
        <f t="shared" si="5"/>
        <v>188356</v>
      </c>
    </row>
    <row r="118" spans="1:8" x14ac:dyDescent="0.25">
      <c r="A118" s="7">
        <v>91.489361702127653</v>
      </c>
      <c r="B118">
        <v>71.05263157894737</v>
      </c>
      <c r="C118" s="7">
        <v>91.489361702127653</v>
      </c>
      <c r="D118">
        <v>71.05263157894737</v>
      </c>
      <c r="E118" s="2">
        <f t="shared" si="6"/>
        <v>362</v>
      </c>
      <c r="F118" s="2">
        <f t="shared" si="7"/>
        <v>565</v>
      </c>
      <c r="G118" s="2">
        <f t="shared" si="8"/>
        <v>-203</v>
      </c>
      <c r="H118" s="2">
        <f t="shared" si="5"/>
        <v>41209</v>
      </c>
    </row>
    <row r="119" spans="1:8" x14ac:dyDescent="0.25">
      <c r="A119" s="7">
        <v>58.18181818181818</v>
      </c>
      <c r="B119">
        <v>65.625</v>
      </c>
      <c r="C119" s="7">
        <v>58.18181818181818</v>
      </c>
      <c r="D119">
        <v>65.625</v>
      </c>
      <c r="E119" s="2">
        <f t="shared" si="6"/>
        <v>84</v>
      </c>
      <c r="F119" s="2">
        <f t="shared" si="7"/>
        <v>509</v>
      </c>
      <c r="G119" s="2">
        <f t="shared" si="8"/>
        <v>-425</v>
      </c>
      <c r="H119" s="2">
        <f t="shared" si="5"/>
        <v>180625</v>
      </c>
    </row>
    <row r="120" spans="1:8" x14ac:dyDescent="0.25">
      <c r="A120" s="7">
        <v>94.545454545454547</v>
      </c>
      <c r="B120">
        <v>81.355932203389841</v>
      </c>
      <c r="C120" s="7">
        <v>94.545454545454547</v>
      </c>
      <c r="D120">
        <v>81.355932203389841</v>
      </c>
      <c r="E120" s="2">
        <f t="shared" si="6"/>
        <v>430</v>
      </c>
      <c r="F120" s="2">
        <f t="shared" si="7"/>
        <v>661.5</v>
      </c>
      <c r="G120" s="2">
        <f t="shared" si="8"/>
        <v>-231.5</v>
      </c>
      <c r="H120" s="2">
        <f t="shared" si="5"/>
        <v>53592.25</v>
      </c>
    </row>
    <row r="121" spans="1:8" x14ac:dyDescent="0.25">
      <c r="A121" s="7">
        <v>90.990990990990994</v>
      </c>
      <c r="B121">
        <v>72.826086956521735</v>
      </c>
      <c r="C121" s="7">
        <v>90.990990990990994</v>
      </c>
      <c r="D121">
        <v>72.826086956521735</v>
      </c>
      <c r="E121" s="2">
        <f t="shared" si="6"/>
        <v>353</v>
      </c>
      <c r="F121" s="2">
        <f t="shared" si="7"/>
        <v>585</v>
      </c>
      <c r="G121" s="2">
        <f t="shared" si="8"/>
        <v>-232</v>
      </c>
      <c r="H121" s="2">
        <f t="shared" ref="H121:H184" si="9">IF(C121="","",G121^2)</f>
        <v>53824</v>
      </c>
    </row>
    <row r="122" spans="1:8" x14ac:dyDescent="0.25">
      <c r="A122" s="7">
        <v>50</v>
      </c>
      <c r="B122">
        <v>0</v>
      </c>
      <c r="C122" s="7">
        <v>50</v>
      </c>
      <c r="D122">
        <v>0</v>
      </c>
      <c r="E122" s="2">
        <f t="shared" si="6"/>
        <v>69</v>
      </c>
      <c r="F122" s="2">
        <f t="shared" si="7"/>
        <v>199.5</v>
      </c>
      <c r="G122" s="2">
        <f t="shared" si="8"/>
        <v>-130.5</v>
      </c>
      <c r="H122" s="2">
        <f t="shared" si="9"/>
        <v>17030.25</v>
      </c>
    </row>
    <row r="123" spans="1:8" x14ac:dyDescent="0.25">
      <c r="A123" s="7">
        <v>0</v>
      </c>
      <c r="B123">
        <v>0</v>
      </c>
      <c r="C123" s="7">
        <v>0</v>
      </c>
      <c r="D123">
        <v>0</v>
      </c>
      <c r="E123" s="2">
        <f t="shared" si="6"/>
        <v>20</v>
      </c>
      <c r="F123" s="2">
        <f t="shared" si="7"/>
        <v>199.5</v>
      </c>
      <c r="G123" s="2">
        <f t="shared" si="8"/>
        <v>-179.5</v>
      </c>
      <c r="H123" s="2">
        <f t="shared" si="9"/>
        <v>32220.25</v>
      </c>
    </row>
    <row r="124" spans="1:8" x14ac:dyDescent="0.25">
      <c r="A124" s="7">
        <v>75</v>
      </c>
      <c r="B124">
        <v>33.333333333333329</v>
      </c>
      <c r="C124" s="7">
        <v>75</v>
      </c>
      <c r="D124">
        <v>33.333333333333329</v>
      </c>
      <c r="E124" s="2">
        <f t="shared" si="6"/>
        <v>139</v>
      </c>
      <c r="F124" s="2">
        <f t="shared" si="7"/>
        <v>408</v>
      </c>
      <c r="G124" s="2">
        <f t="shared" si="8"/>
        <v>-269</v>
      </c>
      <c r="H124" s="2">
        <f t="shared" si="9"/>
        <v>72361</v>
      </c>
    </row>
    <row r="125" spans="1:8" x14ac:dyDescent="0.25">
      <c r="A125" s="7">
        <v>0</v>
      </c>
      <c r="B125">
        <v>0</v>
      </c>
      <c r="C125" s="7">
        <v>0</v>
      </c>
      <c r="D125">
        <v>0</v>
      </c>
      <c r="E125" s="2">
        <f t="shared" si="6"/>
        <v>20</v>
      </c>
      <c r="F125" s="2">
        <f t="shared" si="7"/>
        <v>199.5</v>
      </c>
      <c r="G125" s="2">
        <f t="shared" si="8"/>
        <v>-179.5</v>
      </c>
      <c r="H125" s="2">
        <f t="shared" si="9"/>
        <v>32220.25</v>
      </c>
    </row>
    <row r="126" spans="1:8" x14ac:dyDescent="0.25">
      <c r="A126" s="7">
        <v>100</v>
      </c>
      <c r="B126">
        <v>100</v>
      </c>
      <c r="C126" s="7">
        <v>100</v>
      </c>
      <c r="D126">
        <v>100</v>
      </c>
      <c r="E126" s="2">
        <f t="shared" si="6"/>
        <v>782</v>
      </c>
      <c r="F126" s="2">
        <f t="shared" si="7"/>
        <v>943.5</v>
      </c>
      <c r="G126" s="2">
        <f t="shared" si="8"/>
        <v>-161.5</v>
      </c>
      <c r="H126" s="2">
        <f t="shared" si="9"/>
        <v>26082.25</v>
      </c>
    </row>
    <row r="127" spans="1:8" x14ac:dyDescent="0.25">
      <c r="A127" s="7">
        <v>50</v>
      </c>
      <c r="B127">
        <v>0</v>
      </c>
      <c r="C127" s="7">
        <v>50</v>
      </c>
      <c r="D127">
        <v>0</v>
      </c>
      <c r="E127" s="2">
        <f t="shared" si="6"/>
        <v>69</v>
      </c>
      <c r="F127" s="2">
        <f t="shared" si="7"/>
        <v>199.5</v>
      </c>
      <c r="G127" s="2">
        <f t="shared" si="8"/>
        <v>-130.5</v>
      </c>
      <c r="H127" s="2">
        <f t="shared" si="9"/>
        <v>17030.25</v>
      </c>
    </row>
    <row r="128" spans="1:8" x14ac:dyDescent="0.25">
      <c r="A128" s="7">
        <v>100</v>
      </c>
      <c r="B128">
        <v>0</v>
      </c>
      <c r="C128" s="7">
        <v>100</v>
      </c>
      <c r="D128">
        <v>0</v>
      </c>
      <c r="E128" s="2">
        <f t="shared" si="6"/>
        <v>782</v>
      </c>
      <c r="F128" s="2">
        <f t="shared" si="7"/>
        <v>199.5</v>
      </c>
      <c r="G128" s="2">
        <f t="shared" si="8"/>
        <v>582.5</v>
      </c>
      <c r="H128" s="2">
        <f t="shared" si="9"/>
        <v>339306.25</v>
      </c>
    </row>
    <row r="129" spans="1:8" x14ac:dyDescent="0.25">
      <c r="A129" s="7">
        <v>50</v>
      </c>
      <c r="B129">
        <v>33.333333333333329</v>
      </c>
      <c r="C129" s="7">
        <v>50</v>
      </c>
      <c r="D129">
        <v>33.333333333333329</v>
      </c>
      <c r="E129" s="2">
        <f t="shared" si="6"/>
        <v>69</v>
      </c>
      <c r="F129" s="2">
        <f t="shared" si="7"/>
        <v>408</v>
      </c>
      <c r="G129" s="2">
        <f t="shared" si="8"/>
        <v>-339</v>
      </c>
      <c r="H129" s="2">
        <f t="shared" si="9"/>
        <v>114921</v>
      </c>
    </row>
    <row r="130" spans="1:8" x14ac:dyDescent="0.25">
      <c r="A130" s="7">
        <v>66.666666666666657</v>
      </c>
      <c r="B130">
        <v>0</v>
      </c>
      <c r="C130" s="7">
        <v>66.666666666666657</v>
      </c>
      <c r="D130">
        <v>0</v>
      </c>
      <c r="E130" s="2">
        <f t="shared" si="6"/>
        <v>106.5</v>
      </c>
      <c r="F130" s="2">
        <f t="shared" si="7"/>
        <v>199.5</v>
      </c>
      <c r="G130" s="2">
        <f t="shared" si="8"/>
        <v>-93</v>
      </c>
      <c r="H130" s="2">
        <f t="shared" si="9"/>
        <v>8649</v>
      </c>
    </row>
    <row r="131" spans="1:8" x14ac:dyDescent="0.25">
      <c r="A131" s="7">
        <v>100</v>
      </c>
      <c r="B131">
        <v>0</v>
      </c>
      <c r="C131" s="7">
        <v>100</v>
      </c>
      <c r="D131">
        <v>0</v>
      </c>
      <c r="E131" s="2">
        <f t="shared" ref="E131:E194" si="10">IF(C131="","",_xlfn.RANK.AVG(C131,C$2:C$1003,1))</f>
        <v>782</v>
      </c>
      <c r="F131" s="2">
        <f t="shared" ref="F131:F194" si="11">IF(D131="","",_xlfn.RANK.AVG(D131,D$2:D$1003,1))</f>
        <v>199.5</v>
      </c>
      <c r="G131" s="2">
        <f t="shared" ref="G131:G194" si="12">IF(C131="","",E131-F131)</f>
        <v>582.5</v>
      </c>
      <c r="H131" s="2">
        <f t="shared" si="9"/>
        <v>339306.25</v>
      </c>
    </row>
    <row r="132" spans="1:8" x14ac:dyDescent="0.25">
      <c r="A132" s="7">
        <v>83.333333333333343</v>
      </c>
      <c r="B132">
        <v>66.666666666666657</v>
      </c>
      <c r="C132" s="7">
        <v>83.333333333333343</v>
      </c>
      <c r="D132">
        <v>66.666666666666657</v>
      </c>
      <c r="E132" s="2">
        <f t="shared" si="10"/>
        <v>212.5</v>
      </c>
      <c r="F132" s="2">
        <f t="shared" si="11"/>
        <v>519.5</v>
      </c>
      <c r="G132" s="2">
        <f t="shared" si="12"/>
        <v>-307</v>
      </c>
      <c r="H132" s="2">
        <f t="shared" si="9"/>
        <v>94249</v>
      </c>
    </row>
    <row r="133" spans="1:8" x14ac:dyDescent="0.25">
      <c r="A133" s="7">
        <v>100</v>
      </c>
      <c r="B133">
        <v>0</v>
      </c>
      <c r="C133" s="7">
        <v>100</v>
      </c>
      <c r="D133">
        <v>0</v>
      </c>
      <c r="E133" s="2">
        <f t="shared" si="10"/>
        <v>782</v>
      </c>
      <c r="F133" s="2">
        <f t="shared" si="11"/>
        <v>199.5</v>
      </c>
      <c r="G133" s="2">
        <f t="shared" si="12"/>
        <v>582.5</v>
      </c>
      <c r="H133" s="2">
        <f t="shared" si="9"/>
        <v>339306.25</v>
      </c>
    </row>
    <row r="134" spans="1:8" x14ac:dyDescent="0.25">
      <c r="A134" s="7">
        <v>100</v>
      </c>
      <c r="B134">
        <v>100</v>
      </c>
      <c r="C134" s="7">
        <v>100</v>
      </c>
      <c r="D134">
        <v>100</v>
      </c>
      <c r="E134" s="2">
        <f t="shared" si="10"/>
        <v>782</v>
      </c>
      <c r="F134" s="2">
        <f t="shared" si="11"/>
        <v>943.5</v>
      </c>
      <c r="G134" s="2">
        <f t="shared" si="12"/>
        <v>-161.5</v>
      </c>
      <c r="H134" s="2">
        <f t="shared" si="9"/>
        <v>26082.25</v>
      </c>
    </row>
    <row r="135" spans="1:8" x14ac:dyDescent="0.25">
      <c r="A135" s="7">
        <v>90</v>
      </c>
      <c r="B135">
        <v>87.755102040816325</v>
      </c>
      <c r="C135" s="7">
        <v>90</v>
      </c>
      <c r="D135">
        <v>87.755102040816325</v>
      </c>
      <c r="E135" s="2">
        <f t="shared" si="10"/>
        <v>330</v>
      </c>
      <c r="F135" s="2">
        <f t="shared" si="11"/>
        <v>757</v>
      </c>
      <c r="G135" s="2">
        <f t="shared" si="12"/>
        <v>-427</v>
      </c>
      <c r="H135" s="2">
        <f t="shared" si="9"/>
        <v>182329</v>
      </c>
    </row>
    <row r="136" spans="1:8" x14ac:dyDescent="0.25">
      <c r="A136" s="7">
        <v>92.857142857142861</v>
      </c>
      <c r="B136">
        <v>85.714285714285708</v>
      </c>
      <c r="C136" s="7">
        <v>92.857142857142861</v>
      </c>
      <c r="D136">
        <v>85.714285714285708</v>
      </c>
      <c r="E136" s="2">
        <f t="shared" si="10"/>
        <v>400.5</v>
      </c>
      <c r="F136" s="2">
        <f t="shared" si="11"/>
        <v>720</v>
      </c>
      <c r="G136" s="2">
        <f t="shared" si="12"/>
        <v>-319.5</v>
      </c>
      <c r="H136" s="2">
        <f t="shared" si="9"/>
        <v>102080.25</v>
      </c>
    </row>
    <row r="137" spans="1:8" x14ac:dyDescent="0.25">
      <c r="A137" s="7">
        <v>50</v>
      </c>
      <c r="B137">
        <v>0</v>
      </c>
      <c r="C137" s="7">
        <v>50</v>
      </c>
      <c r="D137">
        <v>0</v>
      </c>
      <c r="E137" s="2">
        <f t="shared" si="10"/>
        <v>69</v>
      </c>
      <c r="F137" s="2">
        <f t="shared" si="11"/>
        <v>199.5</v>
      </c>
      <c r="G137" s="2">
        <f t="shared" si="12"/>
        <v>-130.5</v>
      </c>
      <c r="H137" s="2">
        <f t="shared" si="9"/>
        <v>17030.25</v>
      </c>
    </row>
    <row r="138" spans="1:8" x14ac:dyDescent="0.25">
      <c r="A138" s="7">
        <v>100</v>
      </c>
      <c r="B138">
        <v>0</v>
      </c>
      <c r="C138" s="7">
        <v>100</v>
      </c>
      <c r="D138">
        <v>0</v>
      </c>
      <c r="E138" s="2">
        <f t="shared" si="10"/>
        <v>782</v>
      </c>
      <c r="F138" s="2">
        <f t="shared" si="11"/>
        <v>199.5</v>
      </c>
      <c r="G138" s="2">
        <f t="shared" si="12"/>
        <v>582.5</v>
      </c>
      <c r="H138" s="2">
        <f t="shared" si="9"/>
        <v>339306.25</v>
      </c>
    </row>
    <row r="139" spans="1:8" x14ac:dyDescent="0.25">
      <c r="A139" s="7">
        <v>100</v>
      </c>
      <c r="B139">
        <v>72.727272727272734</v>
      </c>
      <c r="C139" s="7">
        <v>100</v>
      </c>
      <c r="D139">
        <v>72.727272727272734</v>
      </c>
      <c r="E139" s="2">
        <f t="shared" si="10"/>
        <v>782</v>
      </c>
      <c r="F139" s="2">
        <f t="shared" si="11"/>
        <v>580.5</v>
      </c>
      <c r="G139" s="2">
        <f t="shared" si="12"/>
        <v>201.5</v>
      </c>
      <c r="H139" s="2">
        <f t="shared" si="9"/>
        <v>40602.25</v>
      </c>
    </row>
    <row r="140" spans="1:8" x14ac:dyDescent="0.25">
      <c r="A140" s="7">
        <v>100</v>
      </c>
      <c r="B140">
        <v>0</v>
      </c>
      <c r="C140" s="7">
        <v>100</v>
      </c>
      <c r="D140">
        <v>0</v>
      </c>
      <c r="E140" s="2">
        <f t="shared" si="10"/>
        <v>782</v>
      </c>
      <c r="F140" s="2">
        <f t="shared" si="11"/>
        <v>199.5</v>
      </c>
      <c r="G140" s="2">
        <f t="shared" si="12"/>
        <v>582.5</v>
      </c>
      <c r="H140" s="2">
        <f t="shared" si="9"/>
        <v>339306.25</v>
      </c>
    </row>
    <row r="141" spans="1:8" x14ac:dyDescent="0.25">
      <c r="A141" s="7">
        <v>0</v>
      </c>
      <c r="B141">
        <v>0</v>
      </c>
      <c r="C141" s="7">
        <v>0</v>
      </c>
      <c r="D141">
        <v>0</v>
      </c>
      <c r="E141" s="2">
        <f t="shared" si="10"/>
        <v>20</v>
      </c>
      <c r="F141" s="2">
        <f t="shared" si="11"/>
        <v>199.5</v>
      </c>
      <c r="G141" s="2">
        <f t="shared" si="12"/>
        <v>-179.5</v>
      </c>
      <c r="H141" s="2">
        <f t="shared" si="9"/>
        <v>32220.25</v>
      </c>
    </row>
    <row r="142" spans="1:8" x14ac:dyDescent="0.25">
      <c r="A142" s="7">
        <v>94.444444444444443</v>
      </c>
      <c r="B142">
        <v>97.222222222222214</v>
      </c>
      <c r="C142" s="7">
        <v>94.444444444444443</v>
      </c>
      <c r="D142">
        <v>97.222222222222214</v>
      </c>
      <c r="E142" s="2">
        <f t="shared" si="10"/>
        <v>427.5</v>
      </c>
      <c r="F142" s="2">
        <f t="shared" si="11"/>
        <v>873</v>
      </c>
      <c r="G142" s="2">
        <f t="shared" si="12"/>
        <v>-445.5</v>
      </c>
      <c r="H142" s="2">
        <f t="shared" si="9"/>
        <v>198470.25</v>
      </c>
    </row>
    <row r="143" spans="1:8" x14ac:dyDescent="0.25">
      <c r="A143" s="7">
        <v>0</v>
      </c>
      <c r="B143">
        <v>0</v>
      </c>
      <c r="C143" s="7">
        <v>0</v>
      </c>
      <c r="D143">
        <v>0</v>
      </c>
      <c r="E143" s="2">
        <f t="shared" si="10"/>
        <v>20</v>
      </c>
      <c r="F143" s="2">
        <f t="shared" si="11"/>
        <v>199.5</v>
      </c>
      <c r="G143" s="2">
        <f t="shared" si="12"/>
        <v>-179.5</v>
      </c>
      <c r="H143" s="2">
        <f t="shared" si="9"/>
        <v>32220.25</v>
      </c>
    </row>
    <row r="144" spans="1:8" x14ac:dyDescent="0.25">
      <c r="A144" s="7">
        <v>97.368421052631575</v>
      </c>
      <c r="B144">
        <v>92.957746478873233</v>
      </c>
      <c r="C144" s="7">
        <v>97.368421052631575</v>
      </c>
      <c r="D144">
        <v>92.957746478873233</v>
      </c>
      <c r="E144" s="2">
        <f t="shared" si="10"/>
        <v>511</v>
      </c>
      <c r="F144" s="2">
        <f t="shared" si="11"/>
        <v>837</v>
      </c>
      <c r="G144" s="2">
        <f t="shared" si="12"/>
        <v>-326</v>
      </c>
      <c r="H144" s="2">
        <f t="shared" si="9"/>
        <v>106276</v>
      </c>
    </row>
    <row r="145" spans="1:8" x14ac:dyDescent="0.25">
      <c r="A145" s="7">
        <v>100</v>
      </c>
      <c r="B145">
        <v>92.307692307692307</v>
      </c>
      <c r="C145" s="7">
        <v>100</v>
      </c>
      <c r="D145">
        <v>92.307692307692307</v>
      </c>
      <c r="E145" s="2">
        <f t="shared" si="10"/>
        <v>782</v>
      </c>
      <c r="F145" s="2">
        <f t="shared" si="11"/>
        <v>825.5</v>
      </c>
      <c r="G145" s="2">
        <f t="shared" si="12"/>
        <v>-43.5</v>
      </c>
      <c r="H145" s="2">
        <f t="shared" si="9"/>
        <v>1892.25</v>
      </c>
    </row>
    <row r="146" spans="1:8" x14ac:dyDescent="0.25">
      <c r="A146" s="7">
        <v>100</v>
      </c>
      <c r="B146">
        <v>72.727272727272734</v>
      </c>
      <c r="C146" s="7">
        <v>100</v>
      </c>
      <c r="D146">
        <v>72.727272727272734</v>
      </c>
      <c r="E146" s="2">
        <f t="shared" si="10"/>
        <v>782</v>
      </c>
      <c r="F146" s="2">
        <f t="shared" si="11"/>
        <v>580.5</v>
      </c>
      <c r="G146" s="2">
        <f t="shared" si="12"/>
        <v>201.5</v>
      </c>
      <c r="H146" s="2">
        <f t="shared" si="9"/>
        <v>40602.25</v>
      </c>
    </row>
    <row r="147" spans="1:8" x14ac:dyDescent="0.25">
      <c r="A147" s="7">
        <v>96.551724137931032</v>
      </c>
      <c r="B147">
        <v>95.833333333333343</v>
      </c>
      <c r="C147" s="7">
        <v>96.551724137931032</v>
      </c>
      <c r="D147">
        <v>95.833333333333343</v>
      </c>
      <c r="E147" s="2">
        <f t="shared" si="10"/>
        <v>488.5</v>
      </c>
      <c r="F147" s="2">
        <f t="shared" si="11"/>
        <v>864.5</v>
      </c>
      <c r="G147" s="2">
        <f t="shared" si="12"/>
        <v>-376</v>
      </c>
      <c r="H147" s="2">
        <f t="shared" si="9"/>
        <v>141376</v>
      </c>
    </row>
    <row r="148" spans="1:8" x14ac:dyDescent="0.25">
      <c r="A148" s="7">
        <v>100</v>
      </c>
      <c r="B148">
        <v>0</v>
      </c>
      <c r="C148" s="7">
        <v>100</v>
      </c>
      <c r="D148">
        <v>0</v>
      </c>
      <c r="E148" s="2">
        <f t="shared" si="10"/>
        <v>782</v>
      </c>
      <c r="F148" s="2">
        <f t="shared" si="11"/>
        <v>199.5</v>
      </c>
      <c r="G148" s="2">
        <f t="shared" si="12"/>
        <v>582.5</v>
      </c>
      <c r="H148" s="2">
        <f t="shared" si="9"/>
        <v>339306.25</v>
      </c>
    </row>
    <row r="149" spans="1:8" x14ac:dyDescent="0.25">
      <c r="A149" s="7">
        <v>83.333333333333343</v>
      </c>
      <c r="B149">
        <v>66.666666666666657</v>
      </c>
      <c r="C149" s="7">
        <v>83.333333333333343</v>
      </c>
      <c r="D149">
        <v>66.666666666666657</v>
      </c>
      <c r="E149" s="2">
        <f t="shared" si="10"/>
        <v>212.5</v>
      </c>
      <c r="F149" s="2">
        <f t="shared" si="11"/>
        <v>519.5</v>
      </c>
      <c r="G149" s="2">
        <f t="shared" si="12"/>
        <v>-307</v>
      </c>
      <c r="H149" s="2">
        <f t="shared" si="9"/>
        <v>94249</v>
      </c>
    </row>
    <row r="150" spans="1:8" x14ac:dyDescent="0.25">
      <c r="A150" s="7">
        <v>75</v>
      </c>
      <c r="B150">
        <v>66.666666666666657</v>
      </c>
      <c r="C150" s="7">
        <v>75</v>
      </c>
      <c r="D150">
        <v>66.666666666666657</v>
      </c>
      <c r="E150" s="2">
        <f t="shared" si="10"/>
        <v>139</v>
      </c>
      <c r="F150" s="2">
        <f t="shared" si="11"/>
        <v>519.5</v>
      </c>
      <c r="G150" s="2">
        <f t="shared" si="12"/>
        <v>-380.5</v>
      </c>
      <c r="H150" s="2">
        <f t="shared" si="9"/>
        <v>144780.25</v>
      </c>
    </row>
    <row r="151" spans="1:8" x14ac:dyDescent="0.25">
      <c r="A151" s="7">
        <v>100</v>
      </c>
      <c r="B151">
        <v>0</v>
      </c>
      <c r="C151" s="7">
        <v>100</v>
      </c>
      <c r="D151">
        <v>0</v>
      </c>
      <c r="E151" s="2">
        <f t="shared" si="10"/>
        <v>782</v>
      </c>
      <c r="F151" s="2">
        <f t="shared" si="11"/>
        <v>199.5</v>
      </c>
      <c r="G151" s="2">
        <f t="shared" si="12"/>
        <v>582.5</v>
      </c>
      <c r="H151" s="2">
        <f t="shared" si="9"/>
        <v>339306.25</v>
      </c>
    </row>
    <row r="152" spans="1:8" x14ac:dyDescent="0.25">
      <c r="A152" s="7">
        <v>100</v>
      </c>
      <c r="B152">
        <v>100</v>
      </c>
      <c r="C152" s="7">
        <v>100</v>
      </c>
      <c r="D152">
        <v>100</v>
      </c>
      <c r="E152" s="2">
        <f t="shared" si="10"/>
        <v>782</v>
      </c>
      <c r="F152" s="2">
        <f t="shared" si="11"/>
        <v>943.5</v>
      </c>
      <c r="G152" s="2">
        <f t="shared" si="12"/>
        <v>-161.5</v>
      </c>
      <c r="H152" s="2">
        <f t="shared" si="9"/>
        <v>26082.25</v>
      </c>
    </row>
    <row r="153" spans="1:8" x14ac:dyDescent="0.25">
      <c r="A153" s="7">
        <v>75</v>
      </c>
      <c r="B153">
        <v>75</v>
      </c>
      <c r="C153" s="7">
        <v>75</v>
      </c>
      <c r="D153">
        <v>75</v>
      </c>
      <c r="E153" s="2">
        <f t="shared" si="10"/>
        <v>139</v>
      </c>
      <c r="F153" s="2">
        <f t="shared" si="11"/>
        <v>610</v>
      </c>
      <c r="G153" s="2">
        <f t="shared" si="12"/>
        <v>-471</v>
      </c>
      <c r="H153" s="2">
        <f t="shared" si="9"/>
        <v>221841</v>
      </c>
    </row>
    <row r="154" spans="1:8" x14ac:dyDescent="0.25">
      <c r="A154" s="7">
        <v>100</v>
      </c>
      <c r="B154">
        <v>100</v>
      </c>
      <c r="C154" s="7">
        <v>100</v>
      </c>
      <c r="D154">
        <v>100</v>
      </c>
      <c r="E154" s="2">
        <f t="shared" si="10"/>
        <v>782</v>
      </c>
      <c r="F154" s="2">
        <f t="shared" si="11"/>
        <v>943.5</v>
      </c>
      <c r="G154" s="2">
        <f t="shared" si="12"/>
        <v>-161.5</v>
      </c>
      <c r="H154" s="2">
        <f t="shared" si="9"/>
        <v>26082.25</v>
      </c>
    </row>
    <row r="155" spans="1:8" x14ac:dyDescent="0.25">
      <c r="A155" s="7">
        <v>50</v>
      </c>
      <c r="B155">
        <v>0</v>
      </c>
      <c r="C155" s="7">
        <v>50</v>
      </c>
      <c r="D155">
        <v>0</v>
      </c>
      <c r="E155" s="2">
        <f t="shared" si="10"/>
        <v>69</v>
      </c>
      <c r="F155" s="2">
        <f t="shared" si="11"/>
        <v>199.5</v>
      </c>
      <c r="G155" s="2">
        <f t="shared" si="12"/>
        <v>-130.5</v>
      </c>
      <c r="H155" s="2">
        <f t="shared" si="9"/>
        <v>17030.25</v>
      </c>
    </row>
    <row r="156" spans="1:8" x14ac:dyDescent="0.25">
      <c r="A156" s="7">
        <v>50</v>
      </c>
      <c r="B156">
        <v>0</v>
      </c>
      <c r="C156" s="7">
        <v>50</v>
      </c>
      <c r="D156">
        <v>0</v>
      </c>
      <c r="E156" s="2">
        <f t="shared" si="10"/>
        <v>69</v>
      </c>
      <c r="F156" s="2">
        <f t="shared" si="11"/>
        <v>199.5</v>
      </c>
      <c r="G156" s="2">
        <f t="shared" si="12"/>
        <v>-130.5</v>
      </c>
      <c r="H156" s="2">
        <f t="shared" si="9"/>
        <v>17030.25</v>
      </c>
    </row>
    <row r="157" spans="1:8" x14ac:dyDescent="0.25">
      <c r="A157" s="7">
        <v>92.592592592592595</v>
      </c>
      <c r="B157">
        <v>0</v>
      </c>
      <c r="C157" s="7">
        <v>92.592592592592595</v>
      </c>
      <c r="D157">
        <v>0</v>
      </c>
      <c r="E157" s="2">
        <f t="shared" si="10"/>
        <v>392.5</v>
      </c>
      <c r="F157" s="2">
        <f t="shared" si="11"/>
        <v>199.5</v>
      </c>
      <c r="G157" s="2">
        <f t="shared" si="12"/>
        <v>193</v>
      </c>
      <c r="H157" s="2">
        <f t="shared" si="9"/>
        <v>37249</v>
      </c>
    </row>
    <row r="158" spans="1:8" x14ac:dyDescent="0.25">
      <c r="A158" s="7">
        <v>75</v>
      </c>
      <c r="B158">
        <v>66.666666666666657</v>
      </c>
      <c r="C158" s="7">
        <v>75</v>
      </c>
      <c r="D158">
        <v>66.666666666666657</v>
      </c>
      <c r="E158" s="2">
        <f t="shared" si="10"/>
        <v>139</v>
      </c>
      <c r="F158" s="2">
        <f t="shared" si="11"/>
        <v>519.5</v>
      </c>
      <c r="G158" s="2">
        <f t="shared" si="12"/>
        <v>-380.5</v>
      </c>
      <c r="H158" s="2">
        <f t="shared" si="9"/>
        <v>144780.25</v>
      </c>
    </row>
    <row r="159" spans="1:8" x14ac:dyDescent="0.25">
      <c r="A159" s="7">
        <v>100</v>
      </c>
      <c r="B159">
        <v>0</v>
      </c>
      <c r="C159" s="7">
        <v>100</v>
      </c>
      <c r="D159">
        <v>0</v>
      </c>
      <c r="E159" s="2">
        <f t="shared" si="10"/>
        <v>782</v>
      </c>
      <c r="F159" s="2">
        <f t="shared" si="11"/>
        <v>199.5</v>
      </c>
      <c r="G159" s="2">
        <f t="shared" si="12"/>
        <v>582.5</v>
      </c>
      <c r="H159" s="2">
        <f t="shared" si="9"/>
        <v>339306.25</v>
      </c>
    </row>
    <row r="160" spans="1:8" x14ac:dyDescent="0.25">
      <c r="A160" s="7">
        <v>50</v>
      </c>
      <c r="B160">
        <v>0</v>
      </c>
      <c r="C160" s="7">
        <v>50</v>
      </c>
      <c r="D160">
        <v>0</v>
      </c>
      <c r="E160" s="2">
        <f t="shared" si="10"/>
        <v>69</v>
      </c>
      <c r="F160" s="2">
        <f t="shared" si="11"/>
        <v>199.5</v>
      </c>
      <c r="G160" s="2">
        <f t="shared" si="12"/>
        <v>-130.5</v>
      </c>
      <c r="H160" s="2">
        <f t="shared" si="9"/>
        <v>17030.25</v>
      </c>
    </row>
    <row r="161" spans="1:8" x14ac:dyDescent="0.25">
      <c r="A161" s="7">
        <v>50</v>
      </c>
      <c r="B161">
        <v>0</v>
      </c>
      <c r="C161" s="7">
        <v>50</v>
      </c>
      <c r="D161">
        <v>0</v>
      </c>
      <c r="E161" s="2">
        <f t="shared" si="10"/>
        <v>69</v>
      </c>
      <c r="F161" s="2">
        <f t="shared" si="11"/>
        <v>199.5</v>
      </c>
      <c r="G161" s="2">
        <f t="shared" si="12"/>
        <v>-130.5</v>
      </c>
      <c r="H161" s="2">
        <f t="shared" si="9"/>
        <v>17030.25</v>
      </c>
    </row>
    <row r="162" spans="1:8" x14ac:dyDescent="0.25">
      <c r="A162" s="7">
        <v>0</v>
      </c>
      <c r="B162">
        <v>0</v>
      </c>
      <c r="C162" s="7">
        <v>0</v>
      </c>
      <c r="D162">
        <v>0</v>
      </c>
      <c r="E162" s="2">
        <f t="shared" si="10"/>
        <v>20</v>
      </c>
      <c r="F162" s="2">
        <f t="shared" si="11"/>
        <v>199.5</v>
      </c>
      <c r="G162" s="2">
        <f t="shared" si="12"/>
        <v>-179.5</v>
      </c>
      <c r="H162" s="2">
        <f t="shared" si="9"/>
        <v>32220.25</v>
      </c>
    </row>
    <row r="163" spans="1:8" x14ac:dyDescent="0.25">
      <c r="A163" s="7">
        <v>50</v>
      </c>
      <c r="B163">
        <v>0</v>
      </c>
      <c r="C163" s="7">
        <v>50</v>
      </c>
      <c r="D163">
        <v>0</v>
      </c>
      <c r="E163" s="2">
        <f t="shared" si="10"/>
        <v>69</v>
      </c>
      <c r="F163" s="2">
        <f t="shared" si="11"/>
        <v>199.5</v>
      </c>
      <c r="G163" s="2">
        <f t="shared" si="12"/>
        <v>-130.5</v>
      </c>
      <c r="H163" s="2">
        <f t="shared" si="9"/>
        <v>17030.25</v>
      </c>
    </row>
    <row r="164" spans="1:8" x14ac:dyDescent="0.25">
      <c r="A164" s="7">
        <v>100</v>
      </c>
      <c r="B164">
        <v>0</v>
      </c>
      <c r="C164" s="7">
        <v>100</v>
      </c>
      <c r="D164">
        <v>0</v>
      </c>
      <c r="E164" s="2">
        <f t="shared" si="10"/>
        <v>782</v>
      </c>
      <c r="F164" s="2">
        <f t="shared" si="11"/>
        <v>199.5</v>
      </c>
      <c r="G164" s="2">
        <f t="shared" si="12"/>
        <v>582.5</v>
      </c>
      <c r="H164" s="2">
        <f t="shared" si="9"/>
        <v>339306.25</v>
      </c>
    </row>
    <row r="165" spans="1:8" x14ac:dyDescent="0.25">
      <c r="A165" s="7">
        <v>75</v>
      </c>
      <c r="B165">
        <v>66.666666666666657</v>
      </c>
      <c r="C165" s="7">
        <v>75</v>
      </c>
      <c r="D165">
        <v>66.666666666666657</v>
      </c>
      <c r="E165" s="2">
        <f t="shared" si="10"/>
        <v>139</v>
      </c>
      <c r="F165" s="2">
        <f t="shared" si="11"/>
        <v>519.5</v>
      </c>
      <c r="G165" s="2">
        <f t="shared" si="12"/>
        <v>-380.5</v>
      </c>
      <c r="H165" s="2">
        <f t="shared" si="9"/>
        <v>144780.25</v>
      </c>
    </row>
    <row r="166" spans="1:8" x14ac:dyDescent="0.25">
      <c r="A166" s="7">
        <v>75</v>
      </c>
      <c r="B166">
        <v>66.666666666666657</v>
      </c>
      <c r="C166" s="7">
        <v>75</v>
      </c>
      <c r="D166">
        <v>66.666666666666657</v>
      </c>
      <c r="E166" s="2">
        <f t="shared" si="10"/>
        <v>139</v>
      </c>
      <c r="F166" s="2">
        <f t="shared" si="11"/>
        <v>519.5</v>
      </c>
      <c r="G166" s="2">
        <f t="shared" si="12"/>
        <v>-380.5</v>
      </c>
      <c r="H166" s="2">
        <f t="shared" si="9"/>
        <v>144780.25</v>
      </c>
    </row>
    <row r="167" spans="1:8" x14ac:dyDescent="0.25">
      <c r="A167" s="7">
        <v>98.039215686274503</v>
      </c>
      <c r="B167">
        <v>77.777777777777786</v>
      </c>
      <c r="C167" s="7">
        <v>98.039215686274503</v>
      </c>
      <c r="D167">
        <v>77.777777777777786</v>
      </c>
      <c r="E167" s="2">
        <f t="shared" si="10"/>
        <v>534</v>
      </c>
      <c r="F167" s="2">
        <f t="shared" si="11"/>
        <v>631</v>
      </c>
      <c r="G167" s="2">
        <f t="shared" si="12"/>
        <v>-97</v>
      </c>
      <c r="H167" s="2">
        <f t="shared" si="9"/>
        <v>9409</v>
      </c>
    </row>
    <row r="168" spans="1:8" x14ac:dyDescent="0.25">
      <c r="A168" s="7">
        <v>50</v>
      </c>
      <c r="B168">
        <v>0</v>
      </c>
      <c r="C168" s="7">
        <v>50</v>
      </c>
      <c r="D168">
        <v>0</v>
      </c>
      <c r="E168" s="2">
        <f t="shared" si="10"/>
        <v>69</v>
      </c>
      <c r="F168" s="2">
        <f t="shared" si="11"/>
        <v>199.5</v>
      </c>
      <c r="G168" s="2">
        <f t="shared" si="12"/>
        <v>-130.5</v>
      </c>
      <c r="H168" s="2">
        <f t="shared" si="9"/>
        <v>17030.25</v>
      </c>
    </row>
    <row r="169" spans="1:8" x14ac:dyDescent="0.25">
      <c r="A169" s="7">
        <v>100</v>
      </c>
      <c r="B169">
        <v>100</v>
      </c>
      <c r="C169" s="7">
        <v>100</v>
      </c>
      <c r="D169">
        <v>100</v>
      </c>
      <c r="E169" s="2">
        <f t="shared" si="10"/>
        <v>782</v>
      </c>
      <c r="F169" s="2">
        <f t="shared" si="11"/>
        <v>943.5</v>
      </c>
      <c r="G169" s="2">
        <f t="shared" si="12"/>
        <v>-161.5</v>
      </c>
      <c r="H169" s="2">
        <f t="shared" si="9"/>
        <v>26082.25</v>
      </c>
    </row>
    <row r="170" spans="1:8" x14ac:dyDescent="0.25">
      <c r="A170" s="7">
        <v>75</v>
      </c>
      <c r="B170">
        <v>75</v>
      </c>
      <c r="C170" s="7">
        <v>75</v>
      </c>
      <c r="D170">
        <v>75</v>
      </c>
      <c r="E170" s="2">
        <f t="shared" si="10"/>
        <v>139</v>
      </c>
      <c r="F170" s="2">
        <f t="shared" si="11"/>
        <v>610</v>
      </c>
      <c r="G170" s="2">
        <f t="shared" si="12"/>
        <v>-471</v>
      </c>
      <c r="H170" s="2">
        <f t="shared" si="9"/>
        <v>221841</v>
      </c>
    </row>
    <row r="171" spans="1:8" x14ac:dyDescent="0.25">
      <c r="A171" s="7">
        <v>50</v>
      </c>
      <c r="B171">
        <v>0</v>
      </c>
      <c r="C171" s="7">
        <v>50</v>
      </c>
      <c r="D171">
        <v>0</v>
      </c>
      <c r="E171" s="2">
        <f t="shared" si="10"/>
        <v>69</v>
      </c>
      <c r="F171" s="2">
        <f t="shared" si="11"/>
        <v>199.5</v>
      </c>
      <c r="G171" s="2">
        <f t="shared" si="12"/>
        <v>-130.5</v>
      </c>
      <c r="H171" s="2">
        <f t="shared" si="9"/>
        <v>17030.25</v>
      </c>
    </row>
    <row r="172" spans="1:8" x14ac:dyDescent="0.25">
      <c r="A172" s="7">
        <v>100</v>
      </c>
      <c r="B172">
        <v>0</v>
      </c>
      <c r="C172" s="7">
        <v>100</v>
      </c>
      <c r="D172">
        <v>0</v>
      </c>
      <c r="E172" s="2">
        <f t="shared" si="10"/>
        <v>782</v>
      </c>
      <c r="F172" s="2">
        <f t="shared" si="11"/>
        <v>199.5</v>
      </c>
      <c r="G172" s="2">
        <f t="shared" si="12"/>
        <v>582.5</v>
      </c>
      <c r="H172" s="2">
        <f t="shared" si="9"/>
        <v>339306.25</v>
      </c>
    </row>
    <row r="173" spans="1:8" x14ac:dyDescent="0.25">
      <c r="A173" s="7">
        <v>91.379310344827587</v>
      </c>
      <c r="B173">
        <v>84.324324324324323</v>
      </c>
      <c r="C173" s="7">
        <v>91.379310344827587</v>
      </c>
      <c r="D173">
        <v>84.324324324324323</v>
      </c>
      <c r="E173" s="2">
        <f t="shared" si="10"/>
        <v>359</v>
      </c>
      <c r="F173" s="2">
        <f t="shared" si="11"/>
        <v>700</v>
      </c>
      <c r="G173" s="2">
        <f t="shared" si="12"/>
        <v>-341</v>
      </c>
      <c r="H173" s="2">
        <f t="shared" si="9"/>
        <v>116281</v>
      </c>
    </row>
    <row r="174" spans="1:8" x14ac:dyDescent="0.25">
      <c r="A174" s="7">
        <v>100</v>
      </c>
      <c r="B174">
        <v>0</v>
      </c>
      <c r="C174" s="7">
        <v>100</v>
      </c>
      <c r="D174">
        <v>0</v>
      </c>
      <c r="E174" s="2">
        <f t="shared" si="10"/>
        <v>782</v>
      </c>
      <c r="F174" s="2">
        <f t="shared" si="11"/>
        <v>199.5</v>
      </c>
      <c r="G174" s="2">
        <f t="shared" si="12"/>
        <v>582.5</v>
      </c>
      <c r="H174" s="2">
        <f t="shared" si="9"/>
        <v>339306.25</v>
      </c>
    </row>
    <row r="175" spans="1:8" x14ac:dyDescent="0.25">
      <c r="A175" s="7">
        <v>100</v>
      </c>
      <c r="B175">
        <v>87.978142076502735</v>
      </c>
      <c r="C175" s="7">
        <v>100</v>
      </c>
      <c r="D175">
        <v>87.978142076502735</v>
      </c>
      <c r="E175" s="2">
        <f t="shared" si="10"/>
        <v>782</v>
      </c>
      <c r="F175" s="2">
        <f t="shared" si="11"/>
        <v>760</v>
      </c>
      <c r="G175" s="2">
        <f t="shared" si="12"/>
        <v>22</v>
      </c>
      <c r="H175" s="2">
        <f t="shared" si="9"/>
        <v>484</v>
      </c>
    </row>
    <row r="176" spans="1:8" x14ac:dyDescent="0.25">
      <c r="A176" s="7">
        <v>100</v>
      </c>
      <c r="B176">
        <v>0</v>
      </c>
      <c r="C176" s="7">
        <v>100</v>
      </c>
      <c r="D176">
        <v>0</v>
      </c>
      <c r="E176" s="2">
        <f t="shared" si="10"/>
        <v>782</v>
      </c>
      <c r="F176" s="2">
        <f t="shared" si="11"/>
        <v>199.5</v>
      </c>
      <c r="G176" s="2">
        <f t="shared" si="12"/>
        <v>582.5</v>
      </c>
      <c r="H176" s="2">
        <f t="shared" si="9"/>
        <v>339306.25</v>
      </c>
    </row>
    <row r="177" spans="1:8" x14ac:dyDescent="0.25">
      <c r="A177" s="7">
        <v>100</v>
      </c>
      <c r="B177">
        <v>0</v>
      </c>
      <c r="C177" s="7">
        <v>100</v>
      </c>
      <c r="D177">
        <v>0</v>
      </c>
      <c r="E177" s="2">
        <f t="shared" si="10"/>
        <v>782</v>
      </c>
      <c r="F177" s="2">
        <f t="shared" si="11"/>
        <v>199.5</v>
      </c>
      <c r="G177" s="2">
        <f t="shared" si="12"/>
        <v>582.5</v>
      </c>
      <c r="H177" s="2">
        <f t="shared" si="9"/>
        <v>339306.25</v>
      </c>
    </row>
    <row r="178" spans="1:8" x14ac:dyDescent="0.25">
      <c r="A178" s="7">
        <v>100</v>
      </c>
      <c r="B178">
        <v>0</v>
      </c>
      <c r="C178" s="7">
        <v>100</v>
      </c>
      <c r="D178">
        <v>0</v>
      </c>
      <c r="E178" s="2">
        <f t="shared" si="10"/>
        <v>782</v>
      </c>
      <c r="F178" s="2">
        <f t="shared" si="11"/>
        <v>199.5</v>
      </c>
      <c r="G178" s="2">
        <f t="shared" si="12"/>
        <v>582.5</v>
      </c>
      <c r="H178" s="2">
        <f t="shared" si="9"/>
        <v>339306.25</v>
      </c>
    </row>
    <row r="179" spans="1:8" x14ac:dyDescent="0.25">
      <c r="A179" s="7">
        <v>100</v>
      </c>
      <c r="B179">
        <v>0</v>
      </c>
      <c r="C179" s="7">
        <v>100</v>
      </c>
      <c r="D179">
        <v>0</v>
      </c>
      <c r="E179" s="2">
        <f t="shared" si="10"/>
        <v>782</v>
      </c>
      <c r="F179" s="2">
        <f t="shared" si="11"/>
        <v>199.5</v>
      </c>
      <c r="G179" s="2">
        <f t="shared" si="12"/>
        <v>582.5</v>
      </c>
      <c r="H179" s="2">
        <f t="shared" si="9"/>
        <v>339306.25</v>
      </c>
    </row>
    <row r="180" spans="1:8" x14ac:dyDescent="0.25">
      <c r="A180" s="7">
        <v>100</v>
      </c>
      <c r="B180">
        <v>0</v>
      </c>
      <c r="C180" s="7">
        <v>100</v>
      </c>
      <c r="D180">
        <v>0</v>
      </c>
      <c r="E180" s="2">
        <f t="shared" si="10"/>
        <v>782</v>
      </c>
      <c r="F180" s="2">
        <f t="shared" si="11"/>
        <v>199.5</v>
      </c>
      <c r="G180" s="2">
        <f t="shared" si="12"/>
        <v>582.5</v>
      </c>
      <c r="H180" s="2">
        <f t="shared" si="9"/>
        <v>339306.25</v>
      </c>
    </row>
    <row r="181" spans="1:8" x14ac:dyDescent="0.25">
      <c r="A181" s="7">
        <v>100</v>
      </c>
      <c r="B181">
        <v>0</v>
      </c>
      <c r="C181" s="7">
        <v>100</v>
      </c>
      <c r="D181">
        <v>0</v>
      </c>
      <c r="E181" s="2">
        <f t="shared" si="10"/>
        <v>782</v>
      </c>
      <c r="F181" s="2">
        <f t="shared" si="11"/>
        <v>199.5</v>
      </c>
      <c r="G181" s="2">
        <f t="shared" si="12"/>
        <v>582.5</v>
      </c>
      <c r="H181" s="2">
        <f t="shared" si="9"/>
        <v>339306.25</v>
      </c>
    </row>
    <row r="182" spans="1:8" x14ac:dyDescent="0.25">
      <c r="A182" s="7">
        <v>100</v>
      </c>
      <c r="B182">
        <v>0</v>
      </c>
      <c r="C182" s="7">
        <v>100</v>
      </c>
      <c r="D182">
        <v>0</v>
      </c>
      <c r="E182" s="2">
        <f t="shared" si="10"/>
        <v>782</v>
      </c>
      <c r="F182" s="2">
        <f t="shared" si="11"/>
        <v>199.5</v>
      </c>
      <c r="G182" s="2">
        <f t="shared" si="12"/>
        <v>582.5</v>
      </c>
      <c r="H182" s="2">
        <f t="shared" si="9"/>
        <v>339306.25</v>
      </c>
    </row>
    <row r="183" spans="1:8" x14ac:dyDescent="0.25">
      <c r="A183" s="7">
        <v>100</v>
      </c>
      <c r="B183">
        <v>0</v>
      </c>
      <c r="C183" s="7">
        <v>100</v>
      </c>
      <c r="D183">
        <v>0</v>
      </c>
      <c r="E183" s="2">
        <f t="shared" si="10"/>
        <v>782</v>
      </c>
      <c r="F183" s="2">
        <f t="shared" si="11"/>
        <v>199.5</v>
      </c>
      <c r="G183" s="2">
        <f t="shared" si="12"/>
        <v>582.5</v>
      </c>
      <c r="H183" s="2">
        <f t="shared" si="9"/>
        <v>339306.25</v>
      </c>
    </row>
    <row r="184" spans="1:8" x14ac:dyDescent="0.25">
      <c r="A184" s="7">
        <v>100</v>
      </c>
      <c r="B184">
        <v>0</v>
      </c>
      <c r="C184" s="7">
        <v>100</v>
      </c>
      <c r="D184">
        <v>0</v>
      </c>
      <c r="E184" s="2">
        <f t="shared" si="10"/>
        <v>782</v>
      </c>
      <c r="F184" s="2">
        <f t="shared" si="11"/>
        <v>199.5</v>
      </c>
      <c r="G184" s="2">
        <f t="shared" si="12"/>
        <v>582.5</v>
      </c>
      <c r="H184" s="2">
        <f t="shared" si="9"/>
        <v>339306.25</v>
      </c>
    </row>
    <row r="185" spans="1:8" x14ac:dyDescent="0.25">
      <c r="A185" s="7">
        <v>100</v>
      </c>
      <c r="B185">
        <v>0</v>
      </c>
      <c r="C185" s="7">
        <v>100</v>
      </c>
      <c r="D185">
        <v>0</v>
      </c>
      <c r="E185" s="2">
        <f t="shared" si="10"/>
        <v>782</v>
      </c>
      <c r="F185" s="2">
        <f t="shared" si="11"/>
        <v>199.5</v>
      </c>
      <c r="G185" s="2">
        <f t="shared" si="12"/>
        <v>582.5</v>
      </c>
      <c r="H185" s="2">
        <f t="shared" ref="H185:H248" si="13">IF(C185="","",G185^2)</f>
        <v>339306.25</v>
      </c>
    </row>
    <row r="186" spans="1:8" x14ac:dyDescent="0.25">
      <c r="A186" s="7">
        <v>66.666666666666657</v>
      </c>
      <c r="B186">
        <v>66.666666666666657</v>
      </c>
      <c r="C186" s="7">
        <v>66.666666666666657</v>
      </c>
      <c r="D186">
        <v>66.666666666666657</v>
      </c>
      <c r="E186" s="2">
        <f t="shared" si="10"/>
        <v>106.5</v>
      </c>
      <c r="F186" s="2">
        <f t="shared" si="11"/>
        <v>519.5</v>
      </c>
      <c r="G186" s="2">
        <f t="shared" si="12"/>
        <v>-413</v>
      </c>
      <c r="H186" s="2">
        <f t="shared" si="13"/>
        <v>170569</v>
      </c>
    </row>
    <row r="187" spans="1:8" x14ac:dyDescent="0.25">
      <c r="A187" s="7">
        <v>100</v>
      </c>
      <c r="B187">
        <v>0</v>
      </c>
      <c r="C187" s="7">
        <v>100</v>
      </c>
      <c r="D187">
        <v>0</v>
      </c>
      <c r="E187" s="2">
        <f t="shared" si="10"/>
        <v>782</v>
      </c>
      <c r="F187" s="2">
        <f t="shared" si="11"/>
        <v>199.5</v>
      </c>
      <c r="G187" s="2">
        <f t="shared" si="12"/>
        <v>582.5</v>
      </c>
      <c r="H187" s="2">
        <f t="shared" si="13"/>
        <v>339306.25</v>
      </c>
    </row>
    <row r="188" spans="1:8" x14ac:dyDescent="0.25">
      <c r="A188" s="7">
        <v>98.611111111111114</v>
      </c>
      <c r="B188">
        <v>0</v>
      </c>
      <c r="C188" s="7">
        <v>98.611111111111114</v>
      </c>
      <c r="D188">
        <v>0</v>
      </c>
      <c r="E188" s="2">
        <f t="shared" si="10"/>
        <v>546</v>
      </c>
      <c r="F188" s="2">
        <f t="shared" si="11"/>
        <v>199.5</v>
      </c>
      <c r="G188" s="2">
        <f t="shared" si="12"/>
        <v>346.5</v>
      </c>
      <c r="H188" s="2">
        <f t="shared" si="13"/>
        <v>120062.25</v>
      </c>
    </row>
    <row r="189" spans="1:8" x14ac:dyDescent="0.25">
      <c r="A189" s="7">
        <v>90.625</v>
      </c>
      <c r="B189">
        <v>72.727272727272734</v>
      </c>
      <c r="C189" s="7">
        <v>90.625</v>
      </c>
      <c r="D189">
        <v>72.727272727272734</v>
      </c>
      <c r="E189" s="2">
        <f t="shared" si="10"/>
        <v>344.5</v>
      </c>
      <c r="F189" s="2">
        <f t="shared" si="11"/>
        <v>580.5</v>
      </c>
      <c r="G189" s="2">
        <f t="shared" si="12"/>
        <v>-236</v>
      </c>
      <c r="H189" s="2">
        <f t="shared" si="13"/>
        <v>55696</v>
      </c>
    </row>
    <row r="190" spans="1:8" x14ac:dyDescent="0.25">
      <c r="A190" s="7">
        <v>90.625</v>
      </c>
      <c r="B190">
        <v>72.727272727272734</v>
      </c>
      <c r="C190" s="7">
        <v>90.625</v>
      </c>
      <c r="D190">
        <v>72.727272727272734</v>
      </c>
      <c r="E190" s="2">
        <f t="shared" si="10"/>
        <v>344.5</v>
      </c>
      <c r="F190" s="2">
        <f t="shared" si="11"/>
        <v>580.5</v>
      </c>
      <c r="G190" s="2">
        <f t="shared" si="12"/>
        <v>-236</v>
      </c>
      <c r="H190" s="2">
        <f t="shared" si="13"/>
        <v>55696</v>
      </c>
    </row>
    <row r="191" spans="1:8" x14ac:dyDescent="0.25">
      <c r="A191" s="7">
        <v>92.814371257485035</v>
      </c>
      <c r="B191">
        <v>51.648351648351657</v>
      </c>
      <c r="C191" s="7">
        <v>92.814371257485035</v>
      </c>
      <c r="D191">
        <v>51.648351648351657</v>
      </c>
      <c r="E191" s="2">
        <f t="shared" si="10"/>
        <v>396</v>
      </c>
      <c r="F191" s="2">
        <f t="shared" si="11"/>
        <v>439</v>
      </c>
      <c r="G191" s="2">
        <f t="shared" si="12"/>
        <v>-43</v>
      </c>
      <c r="H191" s="2">
        <f t="shared" si="13"/>
        <v>1849</v>
      </c>
    </row>
    <row r="192" spans="1:8" x14ac:dyDescent="0.25">
      <c r="A192" s="7">
        <v>92.531876138433518</v>
      </c>
      <c r="B192">
        <v>94.72318339100346</v>
      </c>
      <c r="C192" s="7">
        <v>92.531876138433518</v>
      </c>
      <c r="D192">
        <v>94.72318339100346</v>
      </c>
      <c r="E192" s="2">
        <f t="shared" si="10"/>
        <v>391</v>
      </c>
      <c r="F192" s="2">
        <f t="shared" si="11"/>
        <v>857</v>
      </c>
      <c r="G192" s="2">
        <f t="shared" si="12"/>
        <v>-466</v>
      </c>
      <c r="H192" s="2">
        <f t="shared" si="13"/>
        <v>217156</v>
      </c>
    </row>
    <row r="193" spans="1:8" x14ac:dyDescent="0.25">
      <c r="A193" s="7">
        <v>81.343283582089555</v>
      </c>
      <c r="B193">
        <v>82.35294117647058</v>
      </c>
      <c r="C193" s="7">
        <v>81.343283582089555</v>
      </c>
      <c r="D193">
        <v>82.35294117647058</v>
      </c>
      <c r="E193" s="2">
        <f t="shared" si="10"/>
        <v>187</v>
      </c>
      <c r="F193" s="2">
        <f t="shared" si="11"/>
        <v>674</v>
      </c>
      <c r="G193" s="2">
        <f t="shared" si="12"/>
        <v>-487</v>
      </c>
      <c r="H193" s="2">
        <f t="shared" si="13"/>
        <v>237169</v>
      </c>
    </row>
    <row r="194" spans="1:8" x14ac:dyDescent="0.25">
      <c r="A194" s="7">
        <v>100</v>
      </c>
      <c r="B194">
        <v>0</v>
      </c>
      <c r="C194" s="7">
        <v>100</v>
      </c>
      <c r="D194">
        <v>0</v>
      </c>
      <c r="E194" s="2">
        <f t="shared" si="10"/>
        <v>782</v>
      </c>
      <c r="F194" s="2">
        <f t="shared" si="11"/>
        <v>199.5</v>
      </c>
      <c r="G194" s="2">
        <f t="shared" si="12"/>
        <v>582.5</v>
      </c>
      <c r="H194" s="2">
        <f t="shared" si="13"/>
        <v>339306.25</v>
      </c>
    </row>
    <row r="195" spans="1:8" x14ac:dyDescent="0.25">
      <c r="A195" s="7">
        <v>90.933333333333337</v>
      </c>
      <c r="B195">
        <v>69.565217391304344</v>
      </c>
      <c r="C195" s="7">
        <v>90.933333333333337</v>
      </c>
      <c r="D195">
        <v>69.565217391304344</v>
      </c>
      <c r="E195" s="2">
        <f t="shared" ref="E195:E258" si="14">IF(C195="","",_xlfn.RANK.AVG(C195,C$2:C$1003,1))</f>
        <v>352</v>
      </c>
      <c r="F195" s="2">
        <f t="shared" ref="F195:F258" si="15">IF(D195="","",_xlfn.RANK.AVG(D195,D$2:D$1003,1))</f>
        <v>549</v>
      </c>
      <c r="G195" s="2">
        <f t="shared" ref="G195:G258" si="16">IF(C195="","",E195-F195)</f>
        <v>-197</v>
      </c>
      <c r="H195" s="2">
        <f t="shared" si="13"/>
        <v>38809</v>
      </c>
    </row>
    <row r="196" spans="1:8" x14ac:dyDescent="0.25">
      <c r="A196" s="7">
        <v>89.922480620155042</v>
      </c>
      <c r="B196">
        <v>70.09345794392523</v>
      </c>
      <c r="C196" s="7">
        <v>89.922480620155042</v>
      </c>
      <c r="D196">
        <v>70.09345794392523</v>
      </c>
      <c r="E196" s="2">
        <f t="shared" si="14"/>
        <v>325</v>
      </c>
      <c r="F196" s="2">
        <f t="shared" si="15"/>
        <v>554</v>
      </c>
      <c r="G196" s="2">
        <f t="shared" si="16"/>
        <v>-229</v>
      </c>
      <c r="H196" s="2">
        <f t="shared" si="13"/>
        <v>52441</v>
      </c>
    </row>
    <row r="197" spans="1:8" x14ac:dyDescent="0.25">
      <c r="A197" s="7">
        <v>80</v>
      </c>
      <c r="B197">
        <v>100</v>
      </c>
      <c r="C197" s="7">
        <v>80</v>
      </c>
      <c r="D197">
        <v>100</v>
      </c>
      <c r="E197" s="2">
        <f t="shared" si="14"/>
        <v>179.5</v>
      </c>
      <c r="F197" s="2">
        <f t="shared" si="15"/>
        <v>943.5</v>
      </c>
      <c r="G197" s="2">
        <f t="shared" si="16"/>
        <v>-764</v>
      </c>
      <c r="H197" s="2">
        <f t="shared" si="13"/>
        <v>583696</v>
      </c>
    </row>
    <row r="198" spans="1:8" x14ac:dyDescent="0.25">
      <c r="A198" s="7">
        <v>100</v>
      </c>
      <c r="B198">
        <v>0</v>
      </c>
      <c r="C198" s="7">
        <v>100</v>
      </c>
      <c r="D198">
        <v>0</v>
      </c>
      <c r="E198" s="2">
        <f t="shared" si="14"/>
        <v>782</v>
      </c>
      <c r="F198" s="2">
        <f t="shared" si="15"/>
        <v>199.5</v>
      </c>
      <c r="G198" s="2">
        <f t="shared" si="16"/>
        <v>582.5</v>
      </c>
      <c r="H198" s="2">
        <f t="shared" si="13"/>
        <v>339306.25</v>
      </c>
    </row>
    <row r="199" spans="1:8" x14ac:dyDescent="0.25">
      <c r="A199" s="7">
        <v>85.714285714285708</v>
      </c>
      <c r="B199">
        <v>77.777777777777786</v>
      </c>
      <c r="C199" s="7">
        <v>85.714285714285708</v>
      </c>
      <c r="D199">
        <v>77.777777777777786</v>
      </c>
      <c r="E199" s="2">
        <f t="shared" si="14"/>
        <v>243</v>
      </c>
      <c r="F199" s="2">
        <f t="shared" si="15"/>
        <v>631</v>
      </c>
      <c r="G199" s="2">
        <f t="shared" si="16"/>
        <v>-388</v>
      </c>
      <c r="H199" s="2">
        <f t="shared" si="13"/>
        <v>150544</v>
      </c>
    </row>
    <row r="200" spans="1:8" x14ac:dyDescent="0.25">
      <c r="A200" s="7">
        <v>100</v>
      </c>
      <c r="B200">
        <v>100</v>
      </c>
      <c r="C200" s="7">
        <v>100</v>
      </c>
      <c r="D200">
        <v>100</v>
      </c>
      <c r="E200" s="2">
        <f t="shared" si="14"/>
        <v>782</v>
      </c>
      <c r="F200" s="2">
        <f t="shared" si="15"/>
        <v>943.5</v>
      </c>
      <c r="G200" s="2">
        <f t="shared" si="16"/>
        <v>-161.5</v>
      </c>
      <c r="H200" s="2">
        <f t="shared" si="13"/>
        <v>26082.25</v>
      </c>
    </row>
    <row r="201" spans="1:8" x14ac:dyDescent="0.25">
      <c r="A201" s="7">
        <v>100</v>
      </c>
      <c r="B201">
        <v>100</v>
      </c>
      <c r="C201" s="7">
        <v>100</v>
      </c>
      <c r="D201">
        <v>100</v>
      </c>
      <c r="E201" s="2">
        <f t="shared" si="14"/>
        <v>782</v>
      </c>
      <c r="F201" s="2">
        <f t="shared" si="15"/>
        <v>943.5</v>
      </c>
      <c r="G201" s="2">
        <f t="shared" si="16"/>
        <v>-161.5</v>
      </c>
      <c r="H201" s="2">
        <f t="shared" si="13"/>
        <v>26082.25</v>
      </c>
    </row>
    <row r="202" spans="1:8" x14ac:dyDescent="0.25">
      <c r="A202" s="7">
        <v>100</v>
      </c>
      <c r="B202">
        <v>0</v>
      </c>
      <c r="C202" s="7">
        <v>100</v>
      </c>
      <c r="D202">
        <v>0</v>
      </c>
      <c r="E202" s="2">
        <f t="shared" si="14"/>
        <v>782</v>
      </c>
      <c r="F202" s="2">
        <f t="shared" si="15"/>
        <v>199.5</v>
      </c>
      <c r="G202" s="2">
        <f t="shared" si="16"/>
        <v>582.5</v>
      </c>
      <c r="H202" s="2">
        <f t="shared" si="13"/>
        <v>339306.25</v>
      </c>
    </row>
    <row r="203" spans="1:8" x14ac:dyDescent="0.25">
      <c r="A203" s="7">
        <v>100</v>
      </c>
      <c r="B203">
        <v>0</v>
      </c>
      <c r="C203" s="7">
        <v>100</v>
      </c>
      <c r="D203">
        <v>0</v>
      </c>
      <c r="E203" s="2">
        <f t="shared" si="14"/>
        <v>782</v>
      </c>
      <c r="F203" s="2">
        <f t="shared" si="15"/>
        <v>199.5</v>
      </c>
      <c r="G203" s="2">
        <f t="shared" si="16"/>
        <v>582.5</v>
      </c>
      <c r="H203" s="2">
        <f t="shared" si="13"/>
        <v>339306.25</v>
      </c>
    </row>
    <row r="204" spans="1:8" x14ac:dyDescent="0.25">
      <c r="A204" s="7">
        <v>100</v>
      </c>
      <c r="B204">
        <v>0</v>
      </c>
      <c r="C204" s="7">
        <v>100</v>
      </c>
      <c r="D204">
        <v>0</v>
      </c>
      <c r="E204" s="2">
        <f t="shared" si="14"/>
        <v>782</v>
      </c>
      <c r="F204" s="2">
        <f t="shared" si="15"/>
        <v>199.5</v>
      </c>
      <c r="G204" s="2">
        <f t="shared" si="16"/>
        <v>582.5</v>
      </c>
      <c r="H204" s="2">
        <f t="shared" si="13"/>
        <v>339306.25</v>
      </c>
    </row>
    <row r="205" spans="1:8" x14ac:dyDescent="0.25">
      <c r="A205" s="7">
        <v>100</v>
      </c>
      <c r="B205">
        <v>0</v>
      </c>
      <c r="C205" s="7">
        <v>100</v>
      </c>
      <c r="D205">
        <v>0</v>
      </c>
      <c r="E205" s="2">
        <f t="shared" si="14"/>
        <v>782</v>
      </c>
      <c r="F205" s="2">
        <f t="shared" si="15"/>
        <v>199.5</v>
      </c>
      <c r="G205" s="2">
        <f t="shared" si="16"/>
        <v>582.5</v>
      </c>
      <c r="H205" s="2">
        <f t="shared" si="13"/>
        <v>339306.25</v>
      </c>
    </row>
    <row r="206" spans="1:8" x14ac:dyDescent="0.25">
      <c r="A206" s="7">
        <v>95.502645502645507</v>
      </c>
      <c r="B206">
        <v>87.185929648241199</v>
      </c>
      <c r="C206" s="7">
        <v>95.502645502645507</v>
      </c>
      <c r="D206">
        <v>87.185929648241199</v>
      </c>
      <c r="E206" s="2">
        <f t="shared" si="14"/>
        <v>458</v>
      </c>
      <c r="F206" s="2">
        <f t="shared" si="15"/>
        <v>748</v>
      </c>
      <c r="G206" s="2">
        <f t="shared" si="16"/>
        <v>-290</v>
      </c>
      <c r="H206" s="2">
        <f t="shared" si="13"/>
        <v>84100</v>
      </c>
    </row>
    <row r="207" spans="1:8" x14ac:dyDescent="0.25">
      <c r="A207" s="7">
        <v>100</v>
      </c>
      <c r="B207">
        <v>0</v>
      </c>
      <c r="C207" s="7">
        <v>100</v>
      </c>
      <c r="D207">
        <v>0</v>
      </c>
      <c r="E207" s="2">
        <f t="shared" si="14"/>
        <v>782</v>
      </c>
      <c r="F207" s="2">
        <f t="shared" si="15"/>
        <v>199.5</v>
      </c>
      <c r="G207" s="2">
        <f t="shared" si="16"/>
        <v>582.5</v>
      </c>
      <c r="H207" s="2">
        <f t="shared" si="13"/>
        <v>339306.25</v>
      </c>
    </row>
    <row r="208" spans="1:8" x14ac:dyDescent="0.25">
      <c r="A208" s="7">
        <v>91.666666666666657</v>
      </c>
      <c r="B208">
        <v>92.857142857142861</v>
      </c>
      <c r="C208" s="7">
        <v>91.666666666666657</v>
      </c>
      <c r="D208">
        <v>92.857142857142861</v>
      </c>
      <c r="E208" s="2">
        <f t="shared" si="14"/>
        <v>368.5</v>
      </c>
      <c r="F208" s="2">
        <f t="shared" si="15"/>
        <v>835</v>
      </c>
      <c r="G208" s="2">
        <f t="shared" si="16"/>
        <v>-466.5</v>
      </c>
      <c r="H208" s="2">
        <f t="shared" si="13"/>
        <v>217622.25</v>
      </c>
    </row>
    <row r="209" spans="1:8" x14ac:dyDescent="0.25">
      <c r="A209" s="7">
        <v>87.2340425531915</v>
      </c>
      <c r="B209">
        <v>93.45794392523365</v>
      </c>
      <c r="C209" s="7">
        <v>87.2340425531915</v>
      </c>
      <c r="D209">
        <v>93.45794392523365</v>
      </c>
      <c r="E209" s="2">
        <f t="shared" si="14"/>
        <v>272</v>
      </c>
      <c r="F209" s="2">
        <f t="shared" si="15"/>
        <v>844</v>
      </c>
      <c r="G209" s="2">
        <f t="shared" si="16"/>
        <v>-572</v>
      </c>
      <c r="H209" s="2">
        <f t="shared" si="13"/>
        <v>327184</v>
      </c>
    </row>
    <row r="210" spans="1:8" x14ac:dyDescent="0.25">
      <c r="A210" s="7">
        <v>100</v>
      </c>
      <c r="B210">
        <v>100</v>
      </c>
      <c r="C210" s="7">
        <v>100</v>
      </c>
      <c r="D210">
        <v>100</v>
      </c>
      <c r="E210" s="2">
        <f t="shared" si="14"/>
        <v>782</v>
      </c>
      <c r="F210" s="2">
        <f t="shared" si="15"/>
        <v>943.5</v>
      </c>
      <c r="G210" s="2">
        <f t="shared" si="16"/>
        <v>-161.5</v>
      </c>
      <c r="H210" s="2">
        <f t="shared" si="13"/>
        <v>26082.25</v>
      </c>
    </row>
    <row r="211" spans="1:8" x14ac:dyDescent="0.25">
      <c r="A211" s="7">
        <v>100</v>
      </c>
      <c r="B211">
        <v>0</v>
      </c>
      <c r="C211" s="7">
        <v>100</v>
      </c>
      <c r="D211">
        <v>0</v>
      </c>
      <c r="E211" s="2">
        <f t="shared" si="14"/>
        <v>782</v>
      </c>
      <c r="F211" s="2">
        <f t="shared" si="15"/>
        <v>199.5</v>
      </c>
      <c r="G211" s="2">
        <f t="shared" si="16"/>
        <v>582.5</v>
      </c>
      <c r="H211" s="2">
        <f t="shared" si="13"/>
        <v>339306.25</v>
      </c>
    </row>
    <row r="212" spans="1:8" x14ac:dyDescent="0.25">
      <c r="A212" s="7">
        <v>62.5</v>
      </c>
      <c r="B212">
        <v>0</v>
      </c>
      <c r="C212" s="7">
        <v>62.5</v>
      </c>
      <c r="D212">
        <v>0</v>
      </c>
      <c r="E212" s="2">
        <f t="shared" si="14"/>
        <v>99.5</v>
      </c>
      <c r="F212" s="2">
        <f t="shared" si="15"/>
        <v>199.5</v>
      </c>
      <c r="G212" s="2">
        <f t="shared" si="16"/>
        <v>-100</v>
      </c>
      <c r="H212" s="2">
        <f t="shared" si="13"/>
        <v>10000</v>
      </c>
    </row>
    <row r="213" spans="1:8" x14ac:dyDescent="0.25">
      <c r="A213" s="7">
        <v>0</v>
      </c>
      <c r="B213">
        <v>0</v>
      </c>
      <c r="C213" s="7">
        <v>0</v>
      </c>
      <c r="D213">
        <v>0</v>
      </c>
      <c r="E213" s="2">
        <f t="shared" si="14"/>
        <v>20</v>
      </c>
      <c r="F213" s="2">
        <f t="shared" si="15"/>
        <v>199.5</v>
      </c>
      <c r="G213" s="2">
        <f t="shared" si="16"/>
        <v>-179.5</v>
      </c>
      <c r="H213" s="2">
        <f t="shared" si="13"/>
        <v>32220.25</v>
      </c>
    </row>
    <row r="214" spans="1:8" x14ac:dyDescent="0.25">
      <c r="A214" s="7">
        <v>100</v>
      </c>
      <c r="B214">
        <v>0</v>
      </c>
      <c r="C214" s="7">
        <v>100</v>
      </c>
      <c r="D214">
        <v>0</v>
      </c>
      <c r="E214" s="2">
        <f t="shared" si="14"/>
        <v>782</v>
      </c>
      <c r="F214" s="2">
        <f t="shared" si="15"/>
        <v>199.5</v>
      </c>
      <c r="G214" s="2">
        <f t="shared" si="16"/>
        <v>582.5</v>
      </c>
      <c r="H214" s="2">
        <f t="shared" si="13"/>
        <v>339306.25</v>
      </c>
    </row>
    <row r="215" spans="1:8" x14ac:dyDescent="0.25">
      <c r="A215" s="7">
        <v>76.19047619047619</v>
      </c>
      <c r="B215">
        <v>73.170731707317074</v>
      </c>
      <c r="C215" s="7">
        <v>76.19047619047619</v>
      </c>
      <c r="D215">
        <v>73.170731707317074</v>
      </c>
      <c r="E215" s="2">
        <f t="shared" si="14"/>
        <v>154</v>
      </c>
      <c r="F215" s="2">
        <f t="shared" si="15"/>
        <v>589</v>
      </c>
      <c r="G215" s="2">
        <f t="shared" si="16"/>
        <v>-435</v>
      </c>
      <c r="H215" s="2">
        <f t="shared" si="13"/>
        <v>189225</v>
      </c>
    </row>
    <row r="216" spans="1:8" x14ac:dyDescent="0.25">
      <c r="A216" s="7">
        <v>100</v>
      </c>
      <c r="B216">
        <v>0</v>
      </c>
      <c r="C216" s="7">
        <v>100</v>
      </c>
      <c r="D216">
        <v>0</v>
      </c>
      <c r="E216" s="2">
        <f t="shared" si="14"/>
        <v>782</v>
      </c>
      <c r="F216" s="2">
        <f t="shared" si="15"/>
        <v>199.5</v>
      </c>
      <c r="G216" s="2">
        <f t="shared" si="16"/>
        <v>582.5</v>
      </c>
      <c r="H216" s="2">
        <f t="shared" si="13"/>
        <v>339306.25</v>
      </c>
    </row>
    <row r="217" spans="1:8" x14ac:dyDescent="0.25">
      <c r="A217" s="7">
        <v>100</v>
      </c>
      <c r="B217">
        <v>0</v>
      </c>
      <c r="C217" s="7">
        <v>100</v>
      </c>
      <c r="D217">
        <v>0</v>
      </c>
      <c r="E217" s="2">
        <f t="shared" si="14"/>
        <v>782</v>
      </c>
      <c r="F217" s="2">
        <f t="shared" si="15"/>
        <v>199.5</v>
      </c>
      <c r="G217" s="2">
        <f t="shared" si="16"/>
        <v>582.5</v>
      </c>
      <c r="H217" s="2">
        <f t="shared" si="13"/>
        <v>339306.25</v>
      </c>
    </row>
    <row r="218" spans="1:8" x14ac:dyDescent="0.25">
      <c r="A218" s="7">
        <v>100</v>
      </c>
      <c r="B218">
        <v>0</v>
      </c>
      <c r="C218" s="7">
        <v>100</v>
      </c>
      <c r="D218">
        <v>0</v>
      </c>
      <c r="E218" s="2">
        <f t="shared" si="14"/>
        <v>782</v>
      </c>
      <c r="F218" s="2">
        <f t="shared" si="15"/>
        <v>199.5</v>
      </c>
      <c r="G218" s="2">
        <f t="shared" si="16"/>
        <v>582.5</v>
      </c>
      <c r="H218" s="2">
        <f t="shared" si="13"/>
        <v>339306.25</v>
      </c>
    </row>
    <row r="219" spans="1:8" x14ac:dyDescent="0.25">
      <c r="A219" s="7">
        <v>100</v>
      </c>
      <c r="B219">
        <v>0</v>
      </c>
      <c r="C219" s="7">
        <v>100</v>
      </c>
      <c r="D219">
        <v>0</v>
      </c>
      <c r="E219" s="2">
        <f t="shared" si="14"/>
        <v>782</v>
      </c>
      <c r="F219" s="2">
        <f t="shared" si="15"/>
        <v>199.5</v>
      </c>
      <c r="G219" s="2">
        <f t="shared" si="16"/>
        <v>582.5</v>
      </c>
      <c r="H219" s="2">
        <f t="shared" si="13"/>
        <v>339306.25</v>
      </c>
    </row>
    <row r="220" spans="1:8" x14ac:dyDescent="0.25">
      <c r="A220" s="7">
        <v>100</v>
      </c>
      <c r="B220">
        <v>0</v>
      </c>
      <c r="C220" s="7">
        <v>100</v>
      </c>
      <c r="D220">
        <v>0</v>
      </c>
      <c r="E220" s="2">
        <f t="shared" si="14"/>
        <v>782</v>
      </c>
      <c r="F220" s="2">
        <f t="shared" si="15"/>
        <v>199.5</v>
      </c>
      <c r="G220" s="2">
        <f t="shared" si="16"/>
        <v>582.5</v>
      </c>
      <c r="H220" s="2">
        <f t="shared" si="13"/>
        <v>339306.25</v>
      </c>
    </row>
    <row r="221" spans="1:8" x14ac:dyDescent="0.25">
      <c r="A221" s="7">
        <v>89.230769230769241</v>
      </c>
      <c r="B221">
        <v>90</v>
      </c>
      <c r="C221" s="7">
        <v>89.230769230769241</v>
      </c>
      <c r="D221">
        <v>90</v>
      </c>
      <c r="E221" s="2">
        <f t="shared" si="14"/>
        <v>307.5</v>
      </c>
      <c r="F221" s="2">
        <f t="shared" si="15"/>
        <v>800</v>
      </c>
      <c r="G221" s="2">
        <f t="shared" si="16"/>
        <v>-492.5</v>
      </c>
      <c r="H221" s="2">
        <f t="shared" si="13"/>
        <v>242556.25</v>
      </c>
    </row>
    <row r="222" spans="1:8" x14ac:dyDescent="0.25">
      <c r="A222" s="7">
        <v>88.311688311688314</v>
      </c>
      <c r="B222">
        <v>83.636363636363626</v>
      </c>
      <c r="C222" s="7">
        <v>88.311688311688314</v>
      </c>
      <c r="D222">
        <v>83.636363636363626</v>
      </c>
      <c r="E222" s="2">
        <f t="shared" si="14"/>
        <v>288</v>
      </c>
      <c r="F222" s="2">
        <f t="shared" si="15"/>
        <v>692</v>
      </c>
      <c r="G222" s="2">
        <f t="shared" si="16"/>
        <v>-404</v>
      </c>
      <c r="H222" s="2">
        <f t="shared" si="13"/>
        <v>163216</v>
      </c>
    </row>
    <row r="223" spans="1:8" x14ac:dyDescent="0.25">
      <c r="A223" s="7">
        <v>0</v>
      </c>
      <c r="B223">
        <v>0</v>
      </c>
      <c r="C223" s="7">
        <v>0</v>
      </c>
      <c r="D223">
        <v>0</v>
      </c>
      <c r="E223" s="2">
        <f t="shared" si="14"/>
        <v>20</v>
      </c>
      <c r="F223" s="2">
        <f t="shared" si="15"/>
        <v>199.5</v>
      </c>
      <c r="G223" s="2">
        <f t="shared" si="16"/>
        <v>-179.5</v>
      </c>
      <c r="H223" s="2">
        <f t="shared" si="13"/>
        <v>32220.25</v>
      </c>
    </row>
    <row r="224" spans="1:8" x14ac:dyDescent="0.25">
      <c r="A224" s="7">
        <v>85.714285714285708</v>
      </c>
      <c r="B224">
        <v>0</v>
      </c>
      <c r="C224" s="7">
        <v>85.714285714285708</v>
      </c>
      <c r="D224">
        <v>0</v>
      </c>
      <c r="E224" s="2">
        <f t="shared" si="14"/>
        <v>243</v>
      </c>
      <c r="F224" s="2">
        <f t="shared" si="15"/>
        <v>199.5</v>
      </c>
      <c r="G224" s="2">
        <f t="shared" si="16"/>
        <v>43.5</v>
      </c>
      <c r="H224" s="2">
        <f t="shared" si="13"/>
        <v>1892.25</v>
      </c>
    </row>
    <row r="225" spans="1:8" x14ac:dyDescent="0.25">
      <c r="A225" s="7">
        <v>97.122302158273371</v>
      </c>
      <c r="B225">
        <v>86.021505376344081</v>
      </c>
      <c r="C225" s="7">
        <v>97.122302158273371</v>
      </c>
      <c r="D225">
        <v>86.021505376344081</v>
      </c>
      <c r="E225" s="2">
        <f t="shared" si="14"/>
        <v>503</v>
      </c>
      <c r="F225" s="2">
        <f t="shared" si="15"/>
        <v>727</v>
      </c>
      <c r="G225" s="2">
        <f t="shared" si="16"/>
        <v>-224</v>
      </c>
      <c r="H225" s="2">
        <f t="shared" si="13"/>
        <v>50176</v>
      </c>
    </row>
    <row r="226" spans="1:8" x14ac:dyDescent="0.25">
      <c r="A226" s="7">
        <v>0</v>
      </c>
      <c r="B226">
        <v>0</v>
      </c>
      <c r="C226" s="7">
        <v>0</v>
      </c>
      <c r="D226">
        <v>0</v>
      </c>
      <c r="E226" s="2">
        <f t="shared" si="14"/>
        <v>20</v>
      </c>
      <c r="F226" s="2">
        <f t="shared" si="15"/>
        <v>199.5</v>
      </c>
      <c r="G226" s="2">
        <f t="shared" si="16"/>
        <v>-179.5</v>
      </c>
      <c r="H226" s="2">
        <f t="shared" si="13"/>
        <v>32220.25</v>
      </c>
    </row>
    <row r="227" spans="1:8" x14ac:dyDescent="0.25">
      <c r="A227" s="7">
        <v>97.345132743362825</v>
      </c>
      <c r="B227">
        <v>41.284403669724774</v>
      </c>
      <c r="C227" s="7">
        <v>97.345132743362825</v>
      </c>
      <c r="D227">
        <v>41.284403669724774</v>
      </c>
      <c r="E227" s="2">
        <f t="shared" si="14"/>
        <v>509</v>
      </c>
      <c r="F227" s="2">
        <f t="shared" si="15"/>
        <v>415</v>
      </c>
      <c r="G227" s="2">
        <f t="shared" si="16"/>
        <v>94</v>
      </c>
      <c r="H227" s="2">
        <f t="shared" si="13"/>
        <v>8836</v>
      </c>
    </row>
    <row r="228" spans="1:8" x14ac:dyDescent="0.25">
      <c r="A228" s="7">
        <v>100</v>
      </c>
      <c r="B228">
        <v>100</v>
      </c>
      <c r="C228" s="7">
        <v>100</v>
      </c>
      <c r="D228">
        <v>100</v>
      </c>
      <c r="E228" s="2">
        <f t="shared" si="14"/>
        <v>782</v>
      </c>
      <c r="F228" s="2">
        <f t="shared" si="15"/>
        <v>943.5</v>
      </c>
      <c r="G228" s="2">
        <f t="shared" si="16"/>
        <v>-161.5</v>
      </c>
      <c r="H228" s="2">
        <f t="shared" si="13"/>
        <v>26082.25</v>
      </c>
    </row>
    <row r="229" spans="1:8" x14ac:dyDescent="0.25">
      <c r="A229" s="7">
        <v>100</v>
      </c>
      <c r="B229">
        <v>50</v>
      </c>
      <c r="C229" s="7">
        <v>100</v>
      </c>
      <c r="D229">
        <v>50</v>
      </c>
      <c r="E229" s="2">
        <f t="shared" si="14"/>
        <v>782</v>
      </c>
      <c r="F229" s="2">
        <f t="shared" si="15"/>
        <v>430.5</v>
      </c>
      <c r="G229" s="2">
        <f t="shared" si="16"/>
        <v>351.5</v>
      </c>
      <c r="H229" s="2">
        <f t="shared" si="13"/>
        <v>123552.25</v>
      </c>
    </row>
    <row r="230" spans="1:8" x14ac:dyDescent="0.25">
      <c r="A230" s="7">
        <v>61.111111111111114</v>
      </c>
      <c r="B230">
        <v>77.777777777777786</v>
      </c>
      <c r="C230" s="7">
        <v>61.111111111111114</v>
      </c>
      <c r="D230">
        <v>77.777777777777786</v>
      </c>
      <c r="E230" s="2">
        <f t="shared" si="14"/>
        <v>94</v>
      </c>
      <c r="F230" s="2">
        <f t="shared" si="15"/>
        <v>631</v>
      </c>
      <c r="G230" s="2">
        <f t="shared" si="16"/>
        <v>-537</v>
      </c>
      <c r="H230" s="2">
        <f t="shared" si="13"/>
        <v>288369</v>
      </c>
    </row>
    <row r="231" spans="1:8" x14ac:dyDescent="0.25">
      <c r="A231" s="7">
        <v>0</v>
      </c>
      <c r="B231">
        <v>0</v>
      </c>
      <c r="C231" s="7">
        <v>0</v>
      </c>
      <c r="D231">
        <v>0</v>
      </c>
      <c r="E231" s="2">
        <f t="shared" si="14"/>
        <v>20</v>
      </c>
      <c r="F231" s="2">
        <f t="shared" si="15"/>
        <v>199.5</v>
      </c>
      <c r="G231" s="2">
        <f t="shared" si="16"/>
        <v>-179.5</v>
      </c>
      <c r="H231" s="2">
        <f t="shared" si="13"/>
        <v>32220.25</v>
      </c>
    </row>
    <row r="232" spans="1:8" x14ac:dyDescent="0.25">
      <c r="A232" s="7">
        <v>74.418604651162795</v>
      </c>
      <c r="B232">
        <v>49.122807017543856</v>
      </c>
      <c r="C232" s="7">
        <v>74.418604651162795</v>
      </c>
      <c r="D232">
        <v>49.122807017543856</v>
      </c>
      <c r="E232" s="2">
        <f t="shared" si="14"/>
        <v>129</v>
      </c>
      <c r="F232" s="2">
        <f t="shared" si="15"/>
        <v>424</v>
      </c>
      <c r="G232" s="2">
        <f t="shared" si="16"/>
        <v>-295</v>
      </c>
      <c r="H232" s="2">
        <f t="shared" si="13"/>
        <v>87025</v>
      </c>
    </row>
    <row r="233" spans="1:8" x14ac:dyDescent="0.25">
      <c r="A233" s="7">
        <v>100</v>
      </c>
      <c r="B233">
        <v>0</v>
      </c>
      <c r="C233" s="7">
        <v>100</v>
      </c>
      <c r="D233">
        <v>0</v>
      </c>
      <c r="E233" s="2">
        <f t="shared" si="14"/>
        <v>782</v>
      </c>
      <c r="F233" s="2">
        <f t="shared" si="15"/>
        <v>199.5</v>
      </c>
      <c r="G233" s="2">
        <f t="shared" si="16"/>
        <v>582.5</v>
      </c>
      <c r="H233" s="2">
        <f t="shared" si="13"/>
        <v>339306.25</v>
      </c>
    </row>
    <row r="234" spans="1:8" x14ac:dyDescent="0.25">
      <c r="A234" s="7">
        <v>97.5</v>
      </c>
      <c r="B234">
        <v>0</v>
      </c>
      <c r="C234" s="7">
        <v>97.5</v>
      </c>
      <c r="D234">
        <v>0</v>
      </c>
      <c r="E234" s="2">
        <f t="shared" si="14"/>
        <v>517</v>
      </c>
      <c r="F234" s="2">
        <f t="shared" si="15"/>
        <v>199.5</v>
      </c>
      <c r="G234" s="2">
        <f t="shared" si="16"/>
        <v>317.5</v>
      </c>
      <c r="H234" s="2">
        <f t="shared" si="13"/>
        <v>100806.25</v>
      </c>
    </row>
    <row r="235" spans="1:8" x14ac:dyDescent="0.25">
      <c r="A235" s="7">
        <v>0</v>
      </c>
      <c r="B235">
        <v>0</v>
      </c>
      <c r="C235" s="7">
        <v>0</v>
      </c>
      <c r="D235">
        <v>0</v>
      </c>
      <c r="E235" s="2">
        <f t="shared" si="14"/>
        <v>20</v>
      </c>
      <c r="F235" s="2">
        <f t="shared" si="15"/>
        <v>199.5</v>
      </c>
      <c r="G235" s="2">
        <f t="shared" si="16"/>
        <v>-179.5</v>
      </c>
      <c r="H235" s="2">
        <f t="shared" si="13"/>
        <v>32220.25</v>
      </c>
    </row>
    <row r="236" spans="1:8" x14ac:dyDescent="0.25">
      <c r="A236" s="7">
        <v>94.73684210526315</v>
      </c>
      <c r="B236">
        <v>0</v>
      </c>
      <c r="C236" s="7">
        <v>94.73684210526315</v>
      </c>
      <c r="D236">
        <v>0</v>
      </c>
      <c r="E236" s="2">
        <f t="shared" si="14"/>
        <v>433</v>
      </c>
      <c r="F236" s="2">
        <f t="shared" si="15"/>
        <v>199.5</v>
      </c>
      <c r="G236" s="2">
        <f t="shared" si="16"/>
        <v>233.5</v>
      </c>
      <c r="H236" s="2">
        <f t="shared" si="13"/>
        <v>54522.25</v>
      </c>
    </row>
    <row r="237" spans="1:8" x14ac:dyDescent="0.25">
      <c r="A237" s="7">
        <v>85.714285714285708</v>
      </c>
      <c r="B237">
        <v>100</v>
      </c>
      <c r="C237" s="7">
        <v>85.714285714285708</v>
      </c>
      <c r="D237">
        <v>100</v>
      </c>
      <c r="E237" s="2">
        <f t="shared" si="14"/>
        <v>243</v>
      </c>
      <c r="F237" s="2">
        <f t="shared" si="15"/>
        <v>943.5</v>
      </c>
      <c r="G237" s="2">
        <f t="shared" si="16"/>
        <v>-700.5</v>
      </c>
      <c r="H237" s="2">
        <f t="shared" si="13"/>
        <v>490700.25</v>
      </c>
    </row>
    <row r="238" spans="1:8" x14ac:dyDescent="0.25">
      <c r="A238" s="7">
        <v>91.666666666666657</v>
      </c>
      <c r="B238">
        <v>88.235294117647058</v>
      </c>
      <c r="C238" s="7">
        <v>91.666666666666657</v>
      </c>
      <c r="D238">
        <v>88.235294117647058</v>
      </c>
      <c r="E238" s="2">
        <f t="shared" si="14"/>
        <v>368.5</v>
      </c>
      <c r="F238" s="2">
        <f t="shared" si="15"/>
        <v>765.5</v>
      </c>
      <c r="G238" s="2">
        <f t="shared" si="16"/>
        <v>-397</v>
      </c>
      <c r="H238" s="2">
        <f t="shared" si="13"/>
        <v>157609</v>
      </c>
    </row>
    <row r="239" spans="1:8" x14ac:dyDescent="0.25">
      <c r="A239" s="7">
        <v>86.885245901639337</v>
      </c>
      <c r="B239">
        <v>0</v>
      </c>
      <c r="C239" s="7">
        <v>86.885245901639337</v>
      </c>
      <c r="D239">
        <v>0</v>
      </c>
      <c r="E239" s="2">
        <f t="shared" si="14"/>
        <v>267</v>
      </c>
      <c r="F239" s="2">
        <f t="shared" si="15"/>
        <v>199.5</v>
      </c>
      <c r="G239" s="2">
        <f t="shared" si="16"/>
        <v>67.5</v>
      </c>
      <c r="H239" s="2">
        <f t="shared" si="13"/>
        <v>4556.25</v>
      </c>
    </row>
    <row r="240" spans="1:8" x14ac:dyDescent="0.25">
      <c r="A240" s="7">
        <v>97.687861271676297</v>
      </c>
      <c r="B240">
        <v>95.305164319248831</v>
      </c>
      <c r="C240" s="7">
        <v>97.687861271676297</v>
      </c>
      <c r="D240">
        <v>95.305164319248831</v>
      </c>
      <c r="E240" s="2">
        <f t="shared" si="14"/>
        <v>526</v>
      </c>
      <c r="F240" s="2">
        <f t="shared" si="15"/>
        <v>860</v>
      </c>
      <c r="G240" s="2">
        <f t="shared" si="16"/>
        <v>-334</v>
      </c>
      <c r="H240" s="2">
        <f t="shared" si="13"/>
        <v>111556</v>
      </c>
    </row>
    <row r="241" spans="1:8" x14ac:dyDescent="0.25">
      <c r="A241" s="7">
        <v>77.41935483870968</v>
      </c>
      <c r="B241">
        <v>83.333333333333343</v>
      </c>
      <c r="C241" s="7">
        <v>77.41935483870968</v>
      </c>
      <c r="D241">
        <v>83.333333333333343</v>
      </c>
      <c r="E241" s="2">
        <f t="shared" si="14"/>
        <v>156</v>
      </c>
      <c r="F241" s="2">
        <f t="shared" si="15"/>
        <v>687</v>
      </c>
      <c r="G241" s="2">
        <f t="shared" si="16"/>
        <v>-531</v>
      </c>
      <c r="H241" s="2">
        <f t="shared" si="13"/>
        <v>281961</v>
      </c>
    </row>
    <row r="242" spans="1:8" x14ac:dyDescent="0.25">
      <c r="A242" s="7">
        <v>100</v>
      </c>
      <c r="B242">
        <v>98.275862068965509</v>
      </c>
      <c r="C242" s="7">
        <v>100</v>
      </c>
      <c r="D242">
        <v>98.275862068965509</v>
      </c>
      <c r="E242" s="2">
        <f t="shared" si="14"/>
        <v>782</v>
      </c>
      <c r="F242" s="2">
        <f t="shared" si="15"/>
        <v>883</v>
      </c>
      <c r="G242" s="2">
        <f t="shared" si="16"/>
        <v>-101</v>
      </c>
      <c r="H242" s="2">
        <f t="shared" si="13"/>
        <v>10201</v>
      </c>
    </row>
    <row r="243" spans="1:8" x14ac:dyDescent="0.25">
      <c r="A243" s="7">
        <v>100</v>
      </c>
      <c r="B243">
        <v>0</v>
      </c>
      <c r="C243" s="7">
        <v>100</v>
      </c>
      <c r="D243">
        <v>0</v>
      </c>
      <c r="E243" s="2">
        <f t="shared" si="14"/>
        <v>782</v>
      </c>
      <c r="F243" s="2">
        <f t="shared" si="15"/>
        <v>199.5</v>
      </c>
      <c r="G243" s="2">
        <f t="shared" si="16"/>
        <v>582.5</v>
      </c>
      <c r="H243" s="2">
        <f t="shared" si="13"/>
        <v>339306.25</v>
      </c>
    </row>
    <row r="244" spans="1:8" x14ac:dyDescent="0.25">
      <c r="A244" s="7">
        <v>100</v>
      </c>
      <c r="B244">
        <v>0</v>
      </c>
      <c r="C244" s="7">
        <v>100</v>
      </c>
      <c r="D244">
        <v>0</v>
      </c>
      <c r="E244" s="2">
        <f t="shared" si="14"/>
        <v>782</v>
      </c>
      <c r="F244" s="2">
        <f t="shared" si="15"/>
        <v>199.5</v>
      </c>
      <c r="G244" s="2">
        <f t="shared" si="16"/>
        <v>582.5</v>
      </c>
      <c r="H244" s="2">
        <f t="shared" si="13"/>
        <v>339306.25</v>
      </c>
    </row>
    <row r="245" spans="1:8" x14ac:dyDescent="0.25">
      <c r="A245" s="7">
        <v>100</v>
      </c>
      <c r="B245">
        <v>0</v>
      </c>
      <c r="C245" s="7">
        <v>100</v>
      </c>
      <c r="D245">
        <v>0</v>
      </c>
      <c r="E245" s="2">
        <f t="shared" si="14"/>
        <v>782</v>
      </c>
      <c r="F245" s="2">
        <f t="shared" si="15"/>
        <v>199.5</v>
      </c>
      <c r="G245" s="2">
        <f t="shared" si="16"/>
        <v>582.5</v>
      </c>
      <c r="H245" s="2">
        <f t="shared" si="13"/>
        <v>339306.25</v>
      </c>
    </row>
    <row r="246" spans="1:8" x14ac:dyDescent="0.25">
      <c r="A246" s="7">
        <v>100</v>
      </c>
      <c r="B246">
        <v>0</v>
      </c>
      <c r="C246" s="7">
        <v>100</v>
      </c>
      <c r="D246">
        <v>0</v>
      </c>
      <c r="E246" s="2">
        <f t="shared" si="14"/>
        <v>782</v>
      </c>
      <c r="F246" s="2">
        <f t="shared" si="15"/>
        <v>199.5</v>
      </c>
      <c r="G246" s="2">
        <f t="shared" si="16"/>
        <v>582.5</v>
      </c>
      <c r="H246" s="2">
        <f t="shared" si="13"/>
        <v>339306.25</v>
      </c>
    </row>
    <row r="247" spans="1:8" x14ac:dyDescent="0.25">
      <c r="A247" s="7">
        <v>92.857142857142861</v>
      </c>
      <c r="B247">
        <v>93.478260869565219</v>
      </c>
      <c r="C247" s="7">
        <v>92.857142857142861</v>
      </c>
      <c r="D247">
        <v>93.478260869565219</v>
      </c>
      <c r="E247" s="2">
        <f t="shared" si="14"/>
        <v>400.5</v>
      </c>
      <c r="F247" s="2">
        <f t="shared" si="15"/>
        <v>846</v>
      </c>
      <c r="G247" s="2">
        <f t="shared" si="16"/>
        <v>-445.5</v>
      </c>
      <c r="H247" s="2">
        <f t="shared" si="13"/>
        <v>198470.25</v>
      </c>
    </row>
    <row r="248" spans="1:8" x14ac:dyDescent="0.25">
      <c r="A248" s="7">
        <v>100</v>
      </c>
      <c r="B248">
        <v>97.674418604651152</v>
      </c>
      <c r="C248" s="7">
        <v>100</v>
      </c>
      <c r="D248">
        <v>97.674418604651152</v>
      </c>
      <c r="E248" s="2">
        <f t="shared" si="14"/>
        <v>782</v>
      </c>
      <c r="F248" s="2">
        <f t="shared" si="15"/>
        <v>876</v>
      </c>
      <c r="G248" s="2">
        <f t="shared" si="16"/>
        <v>-94</v>
      </c>
      <c r="H248" s="2">
        <f t="shared" si="13"/>
        <v>8836</v>
      </c>
    </row>
    <row r="249" spans="1:8" x14ac:dyDescent="0.25">
      <c r="A249" s="7">
        <v>100</v>
      </c>
      <c r="B249">
        <v>0</v>
      </c>
      <c r="C249" s="7">
        <v>100</v>
      </c>
      <c r="D249">
        <v>0</v>
      </c>
      <c r="E249" s="2">
        <f t="shared" si="14"/>
        <v>782</v>
      </c>
      <c r="F249" s="2">
        <f t="shared" si="15"/>
        <v>199.5</v>
      </c>
      <c r="G249" s="2">
        <f t="shared" si="16"/>
        <v>582.5</v>
      </c>
      <c r="H249" s="2">
        <f t="shared" ref="H249:H312" si="17">IF(C249="","",G249^2)</f>
        <v>339306.25</v>
      </c>
    </row>
    <row r="250" spans="1:8" x14ac:dyDescent="0.25">
      <c r="A250" s="7">
        <v>94.174757281553397</v>
      </c>
      <c r="B250">
        <v>90.07633587786259</v>
      </c>
      <c r="C250" s="7">
        <v>94.174757281553397</v>
      </c>
      <c r="D250">
        <v>90.07633587786259</v>
      </c>
      <c r="E250" s="2">
        <f t="shared" si="14"/>
        <v>421.5</v>
      </c>
      <c r="F250" s="2">
        <f t="shared" si="15"/>
        <v>803</v>
      </c>
      <c r="G250" s="2">
        <f t="shared" si="16"/>
        <v>-381.5</v>
      </c>
      <c r="H250" s="2">
        <f t="shared" si="17"/>
        <v>145542.25</v>
      </c>
    </row>
    <row r="251" spans="1:8" x14ac:dyDescent="0.25">
      <c r="A251" s="7">
        <v>100</v>
      </c>
      <c r="B251">
        <v>0</v>
      </c>
      <c r="C251" s="7">
        <v>100</v>
      </c>
      <c r="D251">
        <v>0</v>
      </c>
      <c r="E251" s="2">
        <f t="shared" si="14"/>
        <v>782</v>
      </c>
      <c r="F251" s="2">
        <f t="shared" si="15"/>
        <v>199.5</v>
      </c>
      <c r="G251" s="2">
        <f t="shared" si="16"/>
        <v>582.5</v>
      </c>
      <c r="H251" s="2">
        <f t="shared" si="17"/>
        <v>339306.25</v>
      </c>
    </row>
    <row r="252" spans="1:8" x14ac:dyDescent="0.25">
      <c r="A252" s="7">
        <v>100</v>
      </c>
      <c r="B252">
        <v>0</v>
      </c>
      <c r="C252" s="7">
        <v>100</v>
      </c>
      <c r="D252">
        <v>0</v>
      </c>
      <c r="E252" s="2">
        <f t="shared" si="14"/>
        <v>782</v>
      </c>
      <c r="F252" s="2">
        <f t="shared" si="15"/>
        <v>199.5</v>
      </c>
      <c r="G252" s="2">
        <f t="shared" si="16"/>
        <v>582.5</v>
      </c>
      <c r="H252" s="2">
        <f t="shared" si="17"/>
        <v>339306.25</v>
      </c>
    </row>
    <row r="253" spans="1:8" x14ac:dyDescent="0.25">
      <c r="A253" s="7">
        <v>94.827586206896555</v>
      </c>
      <c r="B253">
        <v>86.554621848739501</v>
      </c>
      <c r="C253" s="7">
        <v>94.827586206896555</v>
      </c>
      <c r="D253">
        <v>86.554621848739501</v>
      </c>
      <c r="E253" s="2">
        <f t="shared" si="14"/>
        <v>436</v>
      </c>
      <c r="F253" s="2">
        <f t="shared" si="15"/>
        <v>735</v>
      </c>
      <c r="G253" s="2">
        <f t="shared" si="16"/>
        <v>-299</v>
      </c>
      <c r="H253" s="2">
        <f t="shared" si="17"/>
        <v>89401</v>
      </c>
    </row>
    <row r="254" spans="1:8" x14ac:dyDescent="0.25">
      <c r="A254" s="7">
        <v>16.666666666666664</v>
      </c>
      <c r="B254">
        <v>0</v>
      </c>
      <c r="C254" s="7">
        <v>16.666666666666664</v>
      </c>
      <c r="D254">
        <v>0</v>
      </c>
      <c r="E254" s="2">
        <f t="shared" si="14"/>
        <v>43</v>
      </c>
      <c r="F254" s="2">
        <f t="shared" si="15"/>
        <v>199.5</v>
      </c>
      <c r="G254" s="2">
        <f t="shared" si="16"/>
        <v>-156.5</v>
      </c>
      <c r="H254" s="2">
        <f t="shared" si="17"/>
        <v>24492.25</v>
      </c>
    </row>
    <row r="255" spans="1:8" x14ac:dyDescent="0.25">
      <c r="A255" s="7">
        <v>16.666666666666664</v>
      </c>
      <c r="B255">
        <v>0</v>
      </c>
      <c r="C255" s="7">
        <v>16.666666666666664</v>
      </c>
      <c r="D255">
        <v>0</v>
      </c>
      <c r="E255" s="2">
        <f t="shared" si="14"/>
        <v>43</v>
      </c>
      <c r="F255" s="2">
        <f t="shared" si="15"/>
        <v>199.5</v>
      </c>
      <c r="G255" s="2">
        <f t="shared" si="16"/>
        <v>-156.5</v>
      </c>
      <c r="H255" s="2">
        <f t="shared" si="17"/>
        <v>24492.25</v>
      </c>
    </row>
    <row r="256" spans="1:8" x14ac:dyDescent="0.25">
      <c r="A256" s="7">
        <v>100</v>
      </c>
      <c r="B256">
        <v>0</v>
      </c>
      <c r="C256" s="7">
        <v>100</v>
      </c>
      <c r="D256">
        <v>0</v>
      </c>
      <c r="E256" s="2">
        <f t="shared" si="14"/>
        <v>782</v>
      </c>
      <c r="F256" s="2">
        <f t="shared" si="15"/>
        <v>199.5</v>
      </c>
      <c r="G256" s="2">
        <f t="shared" si="16"/>
        <v>582.5</v>
      </c>
      <c r="H256" s="2">
        <f t="shared" si="17"/>
        <v>339306.25</v>
      </c>
    </row>
    <row r="257" spans="1:8" x14ac:dyDescent="0.25">
      <c r="A257" s="7">
        <v>100</v>
      </c>
      <c r="B257">
        <v>0</v>
      </c>
      <c r="C257" s="7">
        <v>100</v>
      </c>
      <c r="D257">
        <v>0</v>
      </c>
      <c r="E257" s="2">
        <f t="shared" si="14"/>
        <v>782</v>
      </c>
      <c r="F257" s="2">
        <f t="shared" si="15"/>
        <v>199.5</v>
      </c>
      <c r="G257" s="2">
        <f t="shared" si="16"/>
        <v>582.5</v>
      </c>
      <c r="H257" s="2">
        <f t="shared" si="17"/>
        <v>339306.25</v>
      </c>
    </row>
    <row r="258" spans="1:8" x14ac:dyDescent="0.25">
      <c r="A258" s="7">
        <v>96.428571428571431</v>
      </c>
      <c r="B258">
        <v>74.522292993630572</v>
      </c>
      <c r="C258" s="7">
        <v>96.428571428571431</v>
      </c>
      <c r="D258">
        <v>74.522292993630572</v>
      </c>
      <c r="E258" s="2">
        <f t="shared" si="14"/>
        <v>483</v>
      </c>
      <c r="F258" s="2">
        <f t="shared" si="15"/>
        <v>602</v>
      </c>
      <c r="G258" s="2">
        <f t="shared" si="16"/>
        <v>-119</v>
      </c>
      <c r="H258" s="2">
        <f t="shared" si="17"/>
        <v>14161</v>
      </c>
    </row>
    <row r="259" spans="1:8" x14ac:dyDescent="0.25">
      <c r="A259" s="7">
        <v>89.285714285714292</v>
      </c>
      <c r="B259">
        <v>0</v>
      </c>
      <c r="C259" s="7">
        <v>89.285714285714292</v>
      </c>
      <c r="D259">
        <v>0</v>
      </c>
      <c r="E259" s="2">
        <f t="shared" ref="E259:E322" si="18">IF(C259="","",_xlfn.RANK.AVG(C259,C$2:C$1003,1))</f>
        <v>309.5</v>
      </c>
      <c r="F259" s="2">
        <f t="shared" ref="F259:F322" si="19">IF(D259="","",_xlfn.RANK.AVG(D259,D$2:D$1003,1))</f>
        <v>199.5</v>
      </c>
      <c r="G259" s="2">
        <f t="shared" ref="G259:G322" si="20">IF(C259="","",E259-F259)</f>
        <v>110</v>
      </c>
      <c r="H259" s="2">
        <f t="shared" si="17"/>
        <v>12100</v>
      </c>
    </row>
    <row r="260" spans="1:8" x14ac:dyDescent="0.25">
      <c r="A260" s="7">
        <v>90</v>
      </c>
      <c r="B260">
        <v>91.489361702127653</v>
      </c>
      <c r="C260" s="7">
        <v>90</v>
      </c>
      <c r="D260">
        <v>91.489361702127653</v>
      </c>
      <c r="E260" s="2">
        <f t="shared" si="18"/>
        <v>330</v>
      </c>
      <c r="F260" s="2">
        <f t="shared" si="19"/>
        <v>819</v>
      </c>
      <c r="G260" s="2">
        <f t="shared" si="20"/>
        <v>-489</v>
      </c>
      <c r="H260" s="2">
        <f t="shared" si="17"/>
        <v>239121</v>
      </c>
    </row>
    <row r="261" spans="1:8" x14ac:dyDescent="0.25">
      <c r="A261" s="7">
        <v>100</v>
      </c>
      <c r="B261">
        <v>92.72727272727272</v>
      </c>
      <c r="C261" s="7">
        <v>100</v>
      </c>
      <c r="D261">
        <v>92.72727272727272</v>
      </c>
      <c r="E261" s="2">
        <f t="shared" si="18"/>
        <v>782</v>
      </c>
      <c r="F261" s="2">
        <f t="shared" si="19"/>
        <v>833</v>
      </c>
      <c r="G261" s="2">
        <f t="shared" si="20"/>
        <v>-51</v>
      </c>
      <c r="H261" s="2">
        <f t="shared" si="17"/>
        <v>2601</v>
      </c>
    </row>
    <row r="262" spans="1:8" x14ac:dyDescent="0.25">
      <c r="A262" s="7">
        <v>100</v>
      </c>
      <c r="B262">
        <v>0</v>
      </c>
      <c r="C262" s="7">
        <v>100</v>
      </c>
      <c r="D262">
        <v>0</v>
      </c>
      <c r="E262" s="2">
        <f t="shared" si="18"/>
        <v>782</v>
      </c>
      <c r="F262" s="2">
        <f t="shared" si="19"/>
        <v>199.5</v>
      </c>
      <c r="G262" s="2">
        <f t="shared" si="20"/>
        <v>582.5</v>
      </c>
      <c r="H262" s="2">
        <f t="shared" si="17"/>
        <v>339306.25</v>
      </c>
    </row>
    <row r="263" spans="1:8" x14ac:dyDescent="0.25">
      <c r="A263" s="7">
        <v>89.285714285714292</v>
      </c>
      <c r="B263">
        <v>0</v>
      </c>
      <c r="C263" s="7">
        <v>89.285714285714292</v>
      </c>
      <c r="D263">
        <v>0</v>
      </c>
      <c r="E263" s="2">
        <f t="shared" si="18"/>
        <v>309.5</v>
      </c>
      <c r="F263" s="2">
        <f t="shared" si="19"/>
        <v>199.5</v>
      </c>
      <c r="G263" s="2">
        <f t="shared" si="20"/>
        <v>110</v>
      </c>
      <c r="H263" s="2">
        <f t="shared" si="17"/>
        <v>12100</v>
      </c>
    </row>
    <row r="264" spans="1:8" x14ac:dyDescent="0.25">
      <c r="A264" s="7">
        <v>87.5</v>
      </c>
      <c r="B264">
        <v>80</v>
      </c>
      <c r="C264" s="7">
        <v>87.5</v>
      </c>
      <c r="D264">
        <v>80</v>
      </c>
      <c r="E264" s="2">
        <f t="shared" si="18"/>
        <v>279.5</v>
      </c>
      <c r="F264" s="2">
        <f t="shared" si="19"/>
        <v>649.5</v>
      </c>
      <c r="G264" s="2">
        <f t="shared" si="20"/>
        <v>-370</v>
      </c>
      <c r="H264" s="2">
        <f t="shared" si="17"/>
        <v>136900</v>
      </c>
    </row>
    <row r="265" spans="1:8" x14ac:dyDescent="0.25">
      <c r="A265" s="7">
        <v>94.029850746268664</v>
      </c>
      <c r="B265">
        <v>94.174757281553397</v>
      </c>
      <c r="C265" s="7">
        <v>94.029850746268664</v>
      </c>
      <c r="D265">
        <v>94.174757281553397</v>
      </c>
      <c r="E265" s="2">
        <f t="shared" si="18"/>
        <v>417.5</v>
      </c>
      <c r="F265" s="2">
        <f t="shared" si="19"/>
        <v>854</v>
      </c>
      <c r="G265" s="2">
        <f t="shared" si="20"/>
        <v>-436.5</v>
      </c>
      <c r="H265" s="2">
        <f t="shared" si="17"/>
        <v>190532.25</v>
      </c>
    </row>
    <row r="266" spans="1:8" x14ac:dyDescent="0.25">
      <c r="A266" s="7">
        <v>100</v>
      </c>
      <c r="B266">
        <v>100</v>
      </c>
      <c r="C266" s="7">
        <v>100</v>
      </c>
      <c r="D266">
        <v>100</v>
      </c>
      <c r="E266" s="2">
        <f t="shared" si="18"/>
        <v>782</v>
      </c>
      <c r="F266" s="2">
        <f t="shared" si="19"/>
        <v>943.5</v>
      </c>
      <c r="G266" s="2">
        <f t="shared" si="20"/>
        <v>-161.5</v>
      </c>
      <c r="H266" s="2">
        <f t="shared" si="17"/>
        <v>26082.25</v>
      </c>
    </row>
    <row r="267" spans="1:8" x14ac:dyDescent="0.25">
      <c r="A267" s="7">
        <v>100</v>
      </c>
      <c r="B267">
        <v>98.529411764705884</v>
      </c>
      <c r="C267" s="7">
        <v>100</v>
      </c>
      <c r="D267">
        <v>98.529411764705884</v>
      </c>
      <c r="E267" s="2">
        <f t="shared" si="18"/>
        <v>782</v>
      </c>
      <c r="F267" s="2">
        <f t="shared" si="19"/>
        <v>884</v>
      </c>
      <c r="G267" s="2">
        <f t="shared" si="20"/>
        <v>-102</v>
      </c>
      <c r="H267" s="2">
        <f t="shared" si="17"/>
        <v>10404</v>
      </c>
    </row>
    <row r="268" spans="1:8" x14ac:dyDescent="0.25">
      <c r="A268" s="7">
        <v>100</v>
      </c>
      <c r="B268">
        <v>95.161290322580655</v>
      </c>
      <c r="C268" s="7">
        <v>100</v>
      </c>
      <c r="D268">
        <v>95.161290322580655</v>
      </c>
      <c r="E268" s="2">
        <f t="shared" si="18"/>
        <v>782</v>
      </c>
      <c r="F268" s="2">
        <f t="shared" si="19"/>
        <v>859</v>
      </c>
      <c r="G268" s="2">
        <f t="shared" si="20"/>
        <v>-77</v>
      </c>
      <c r="H268" s="2">
        <f t="shared" si="17"/>
        <v>5929</v>
      </c>
    </row>
    <row r="269" spans="1:8" x14ac:dyDescent="0.25">
      <c r="A269" s="7">
        <v>98.734177215189874</v>
      </c>
      <c r="B269">
        <v>59.770114942528743</v>
      </c>
      <c r="C269" s="7">
        <v>98.734177215189874</v>
      </c>
      <c r="D269">
        <v>59.770114942528743</v>
      </c>
      <c r="E269" s="2">
        <f t="shared" si="18"/>
        <v>548</v>
      </c>
      <c r="F269" s="2">
        <f t="shared" si="19"/>
        <v>473</v>
      </c>
      <c r="G269" s="2">
        <f t="shared" si="20"/>
        <v>75</v>
      </c>
      <c r="H269" s="2">
        <f t="shared" si="17"/>
        <v>5625</v>
      </c>
    </row>
    <row r="270" spans="1:8" x14ac:dyDescent="0.25">
      <c r="A270" s="7">
        <v>96.551724137931032</v>
      </c>
      <c r="B270">
        <v>83.333333333333343</v>
      </c>
      <c r="C270" s="7">
        <v>96.551724137931032</v>
      </c>
      <c r="D270">
        <v>83.333333333333343</v>
      </c>
      <c r="E270" s="2">
        <f t="shared" si="18"/>
        <v>488.5</v>
      </c>
      <c r="F270" s="2">
        <f t="shared" si="19"/>
        <v>687</v>
      </c>
      <c r="G270" s="2">
        <f t="shared" si="20"/>
        <v>-198.5</v>
      </c>
      <c r="H270" s="2">
        <f t="shared" si="17"/>
        <v>39402.25</v>
      </c>
    </row>
    <row r="271" spans="1:8" x14ac:dyDescent="0.25">
      <c r="A271" s="7">
        <v>87.5</v>
      </c>
      <c r="B271">
        <v>76.31578947368422</v>
      </c>
      <c r="C271" s="7">
        <v>87.5</v>
      </c>
      <c r="D271">
        <v>76.31578947368422</v>
      </c>
      <c r="E271" s="2">
        <f t="shared" si="18"/>
        <v>279.5</v>
      </c>
      <c r="F271" s="2">
        <f t="shared" si="19"/>
        <v>619</v>
      </c>
      <c r="G271" s="2">
        <f t="shared" si="20"/>
        <v>-339.5</v>
      </c>
      <c r="H271" s="2">
        <f t="shared" si="17"/>
        <v>115260.25</v>
      </c>
    </row>
    <row r="272" spans="1:8" x14ac:dyDescent="0.25">
      <c r="A272" s="7">
        <v>83.333333333333343</v>
      </c>
      <c r="B272">
        <v>60</v>
      </c>
      <c r="C272" s="7">
        <v>83.333333333333343</v>
      </c>
      <c r="D272">
        <v>60</v>
      </c>
      <c r="E272" s="2">
        <f t="shared" si="18"/>
        <v>212.5</v>
      </c>
      <c r="F272" s="2">
        <f t="shared" si="19"/>
        <v>475.5</v>
      </c>
      <c r="G272" s="2">
        <f t="shared" si="20"/>
        <v>-263</v>
      </c>
      <c r="H272" s="2">
        <f t="shared" si="17"/>
        <v>69169</v>
      </c>
    </row>
    <row r="273" spans="1:8" x14ac:dyDescent="0.25">
      <c r="A273" s="7">
        <v>92.035398230088489</v>
      </c>
      <c r="B273">
        <v>89.099526066350705</v>
      </c>
      <c r="C273" s="7">
        <v>92.035398230088489</v>
      </c>
      <c r="D273">
        <v>89.099526066350705</v>
      </c>
      <c r="E273" s="2">
        <f t="shared" si="18"/>
        <v>380</v>
      </c>
      <c r="F273" s="2">
        <f t="shared" si="19"/>
        <v>785</v>
      </c>
      <c r="G273" s="2">
        <f t="shared" si="20"/>
        <v>-405</v>
      </c>
      <c r="H273" s="2">
        <f t="shared" si="17"/>
        <v>164025</v>
      </c>
    </row>
    <row r="274" spans="1:8" x14ac:dyDescent="0.25">
      <c r="A274" s="7">
        <v>97.959183673469383</v>
      </c>
      <c r="B274">
        <v>66.666666666666657</v>
      </c>
      <c r="C274" s="7">
        <v>97.959183673469383</v>
      </c>
      <c r="D274">
        <v>66.666666666666657</v>
      </c>
      <c r="E274" s="2">
        <f t="shared" si="18"/>
        <v>533</v>
      </c>
      <c r="F274" s="2">
        <f t="shared" si="19"/>
        <v>519.5</v>
      </c>
      <c r="G274" s="2">
        <f t="shared" si="20"/>
        <v>13.5</v>
      </c>
      <c r="H274" s="2">
        <f t="shared" si="17"/>
        <v>182.25</v>
      </c>
    </row>
    <row r="275" spans="1:8" x14ac:dyDescent="0.25">
      <c r="A275" s="7">
        <v>100</v>
      </c>
      <c r="B275">
        <v>100</v>
      </c>
      <c r="C275" s="7">
        <v>100</v>
      </c>
      <c r="D275">
        <v>100</v>
      </c>
      <c r="E275" s="2">
        <f t="shared" si="18"/>
        <v>782</v>
      </c>
      <c r="F275" s="2">
        <f t="shared" si="19"/>
        <v>943.5</v>
      </c>
      <c r="G275" s="2">
        <f t="shared" si="20"/>
        <v>-161.5</v>
      </c>
      <c r="H275" s="2">
        <f t="shared" si="17"/>
        <v>26082.25</v>
      </c>
    </row>
    <row r="276" spans="1:8" x14ac:dyDescent="0.25">
      <c r="A276" s="7">
        <v>25</v>
      </c>
      <c r="B276">
        <v>0</v>
      </c>
      <c r="C276" s="7">
        <v>25</v>
      </c>
      <c r="D276">
        <v>0</v>
      </c>
      <c r="E276" s="2">
        <f t="shared" si="18"/>
        <v>46</v>
      </c>
      <c r="F276" s="2">
        <f t="shared" si="19"/>
        <v>199.5</v>
      </c>
      <c r="G276" s="2">
        <f t="shared" si="20"/>
        <v>-153.5</v>
      </c>
      <c r="H276" s="2">
        <f t="shared" si="17"/>
        <v>23562.25</v>
      </c>
    </row>
    <row r="277" spans="1:8" x14ac:dyDescent="0.25">
      <c r="A277" s="7">
        <v>98.4375</v>
      </c>
      <c r="B277">
        <v>100</v>
      </c>
      <c r="C277" s="7">
        <v>98.4375</v>
      </c>
      <c r="D277">
        <v>100</v>
      </c>
      <c r="E277" s="2">
        <f t="shared" si="18"/>
        <v>543</v>
      </c>
      <c r="F277" s="2">
        <f t="shared" si="19"/>
        <v>943.5</v>
      </c>
      <c r="G277" s="2">
        <f t="shared" si="20"/>
        <v>-400.5</v>
      </c>
      <c r="H277" s="2">
        <f t="shared" si="17"/>
        <v>160400.25</v>
      </c>
    </row>
    <row r="278" spans="1:8" x14ac:dyDescent="0.25">
      <c r="A278" s="7">
        <v>100</v>
      </c>
      <c r="B278">
        <v>94.117647058823522</v>
      </c>
      <c r="C278" s="7">
        <v>100</v>
      </c>
      <c r="D278">
        <v>94.117647058823522</v>
      </c>
      <c r="E278" s="2">
        <f t="shared" si="18"/>
        <v>782</v>
      </c>
      <c r="F278" s="2">
        <f t="shared" si="19"/>
        <v>853</v>
      </c>
      <c r="G278" s="2">
        <f t="shared" si="20"/>
        <v>-71</v>
      </c>
      <c r="H278" s="2">
        <f t="shared" si="17"/>
        <v>5041</v>
      </c>
    </row>
    <row r="279" spans="1:8" x14ac:dyDescent="0.25">
      <c r="A279" s="7">
        <v>90.566037735849065</v>
      </c>
      <c r="B279">
        <v>75</v>
      </c>
      <c r="C279" s="7">
        <v>90.566037735849065</v>
      </c>
      <c r="D279">
        <v>75</v>
      </c>
      <c r="E279" s="2">
        <f t="shared" si="18"/>
        <v>341.5</v>
      </c>
      <c r="F279" s="2">
        <f t="shared" si="19"/>
        <v>610</v>
      </c>
      <c r="G279" s="2">
        <f t="shared" si="20"/>
        <v>-268.5</v>
      </c>
      <c r="H279" s="2">
        <f t="shared" si="17"/>
        <v>72092.25</v>
      </c>
    </row>
    <row r="280" spans="1:8" x14ac:dyDescent="0.25">
      <c r="A280" s="7">
        <v>91.304347826086953</v>
      </c>
      <c r="B280">
        <v>0</v>
      </c>
      <c r="C280" s="7">
        <v>91.304347826086953</v>
      </c>
      <c r="D280">
        <v>0</v>
      </c>
      <c r="E280" s="2">
        <f t="shared" si="18"/>
        <v>357.5</v>
      </c>
      <c r="F280" s="2">
        <f t="shared" si="19"/>
        <v>199.5</v>
      </c>
      <c r="G280" s="2">
        <f t="shared" si="20"/>
        <v>158</v>
      </c>
      <c r="H280" s="2">
        <f t="shared" si="17"/>
        <v>24964</v>
      </c>
    </row>
    <row r="281" spans="1:8" x14ac:dyDescent="0.25">
      <c r="A281" s="7">
        <v>92.592592592592595</v>
      </c>
      <c r="B281">
        <v>0</v>
      </c>
      <c r="C281" s="7">
        <v>92.592592592592595</v>
      </c>
      <c r="D281">
        <v>0</v>
      </c>
      <c r="E281" s="2">
        <f t="shared" si="18"/>
        <v>392.5</v>
      </c>
      <c r="F281" s="2">
        <f t="shared" si="19"/>
        <v>199.5</v>
      </c>
      <c r="G281" s="2">
        <f t="shared" si="20"/>
        <v>193</v>
      </c>
      <c r="H281" s="2">
        <f t="shared" si="17"/>
        <v>37249</v>
      </c>
    </row>
    <row r="282" spans="1:8" x14ac:dyDescent="0.25">
      <c r="A282" s="7">
        <v>98.076923076923066</v>
      </c>
      <c r="B282">
        <v>70.886075949367083</v>
      </c>
      <c r="C282" s="7">
        <v>98.076923076923066</v>
      </c>
      <c r="D282">
        <v>70.886075949367083</v>
      </c>
      <c r="E282" s="2">
        <f t="shared" si="18"/>
        <v>535</v>
      </c>
      <c r="F282" s="2">
        <f t="shared" si="19"/>
        <v>562</v>
      </c>
      <c r="G282" s="2">
        <f t="shared" si="20"/>
        <v>-27</v>
      </c>
      <c r="H282" s="2">
        <f t="shared" si="17"/>
        <v>729</v>
      </c>
    </row>
    <row r="283" spans="1:8" x14ac:dyDescent="0.25">
      <c r="A283" s="7">
        <v>100</v>
      </c>
      <c r="B283">
        <v>85.714285714285708</v>
      </c>
      <c r="C283" s="7">
        <v>100</v>
      </c>
      <c r="D283">
        <v>85.714285714285708</v>
      </c>
      <c r="E283" s="2">
        <f t="shared" si="18"/>
        <v>782</v>
      </c>
      <c r="F283" s="2">
        <f t="shared" si="19"/>
        <v>720</v>
      </c>
      <c r="G283" s="2">
        <f t="shared" si="20"/>
        <v>62</v>
      </c>
      <c r="H283" s="2">
        <f t="shared" si="17"/>
        <v>3844</v>
      </c>
    </row>
    <row r="284" spans="1:8" x14ac:dyDescent="0.25">
      <c r="A284" s="7">
        <v>88.888888888888886</v>
      </c>
      <c r="B284">
        <v>88.888888888888886</v>
      </c>
      <c r="C284" s="7">
        <v>88.888888888888886</v>
      </c>
      <c r="D284">
        <v>88.888888888888886</v>
      </c>
      <c r="E284" s="2">
        <f t="shared" si="18"/>
        <v>298.5</v>
      </c>
      <c r="F284" s="2">
        <f t="shared" si="19"/>
        <v>777.5</v>
      </c>
      <c r="G284" s="2">
        <f t="shared" si="20"/>
        <v>-479</v>
      </c>
      <c r="H284" s="2">
        <f t="shared" si="17"/>
        <v>229441</v>
      </c>
    </row>
    <row r="285" spans="1:8" x14ac:dyDescent="0.25">
      <c r="A285" s="7">
        <v>100</v>
      </c>
      <c r="B285">
        <v>0</v>
      </c>
      <c r="C285" s="7">
        <v>100</v>
      </c>
      <c r="D285">
        <v>0</v>
      </c>
      <c r="E285" s="2">
        <f t="shared" si="18"/>
        <v>782</v>
      </c>
      <c r="F285" s="2">
        <f t="shared" si="19"/>
        <v>199.5</v>
      </c>
      <c r="G285" s="2">
        <f t="shared" si="20"/>
        <v>582.5</v>
      </c>
      <c r="H285" s="2">
        <f t="shared" si="17"/>
        <v>339306.25</v>
      </c>
    </row>
    <row r="286" spans="1:8" x14ac:dyDescent="0.25">
      <c r="A286" s="7">
        <v>100</v>
      </c>
      <c r="B286">
        <v>100</v>
      </c>
      <c r="C286" s="7">
        <v>100</v>
      </c>
      <c r="D286">
        <v>100</v>
      </c>
      <c r="E286" s="2">
        <f t="shared" si="18"/>
        <v>782</v>
      </c>
      <c r="F286" s="2">
        <f t="shared" si="19"/>
        <v>943.5</v>
      </c>
      <c r="G286" s="2">
        <f t="shared" si="20"/>
        <v>-161.5</v>
      </c>
      <c r="H286" s="2">
        <f t="shared" si="17"/>
        <v>26082.25</v>
      </c>
    </row>
    <row r="287" spans="1:8" x14ac:dyDescent="0.25">
      <c r="A287" s="7">
        <v>86.36363636363636</v>
      </c>
      <c r="B287">
        <v>83.333333333333343</v>
      </c>
      <c r="C287" s="7">
        <v>86.36363636363636</v>
      </c>
      <c r="D287">
        <v>83.333333333333343</v>
      </c>
      <c r="E287" s="2">
        <f t="shared" si="18"/>
        <v>255.5</v>
      </c>
      <c r="F287" s="2">
        <f t="shared" si="19"/>
        <v>687</v>
      </c>
      <c r="G287" s="2">
        <f t="shared" si="20"/>
        <v>-431.5</v>
      </c>
      <c r="H287" s="2">
        <f t="shared" si="17"/>
        <v>186192.25</v>
      </c>
    </row>
    <row r="288" spans="1:8" x14ac:dyDescent="0.25">
      <c r="A288" s="7">
        <v>94.444444444444443</v>
      </c>
      <c r="B288">
        <v>90.625</v>
      </c>
      <c r="C288" s="7">
        <v>94.444444444444443</v>
      </c>
      <c r="D288">
        <v>90.625</v>
      </c>
      <c r="E288" s="2">
        <f t="shared" si="18"/>
        <v>427.5</v>
      </c>
      <c r="F288" s="2">
        <f t="shared" si="19"/>
        <v>811</v>
      </c>
      <c r="G288" s="2">
        <f t="shared" si="20"/>
        <v>-383.5</v>
      </c>
      <c r="H288" s="2">
        <f t="shared" si="17"/>
        <v>147072.25</v>
      </c>
    </row>
    <row r="289" spans="1:8" x14ac:dyDescent="0.25">
      <c r="A289" s="7">
        <v>75.862068965517238</v>
      </c>
      <c r="B289">
        <v>54.166666666666664</v>
      </c>
      <c r="C289" s="7">
        <v>75.862068965517238</v>
      </c>
      <c r="D289">
        <v>54.166666666666664</v>
      </c>
      <c r="E289" s="2">
        <f t="shared" si="18"/>
        <v>152</v>
      </c>
      <c r="F289" s="2">
        <f t="shared" si="19"/>
        <v>449</v>
      </c>
      <c r="G289" s="2">
        <f t="shared" si="20"/>
        <v>-297</v>
      </c>
      <c r="H289" s="2">
        <f t="shared" si="17"/>
        <v>88209</v>
      </c>
    </row>
    <row r="290" spans="1:8" x14ac:dyDescent="0.25">
      <c r="A290" s="7">
        <v>100</v>
      </c>
      <c r="B290">
        <v>0</v>
      </c>
      <c r="C290" s="7">
        <v>100</v>
      </c>
      <c r="D290">
        <v>0</v>
      </c>
      <c r="E290" s="2">
        <f t="shared" si="18"/>
        <v>782</v>
      </c>
      <c r="F290" s="2">
        <f t="shared" si="19"/>
        <v>199.5</v>
      </c>
      <c r="G290" s="2">
        <f t="shared" si="20"/>
        <v>582.5</v>
      </c>
      <c r="H290" s="2">
        <f t="shared" si="17"/>
        <v>339306.25</v>
      </c>
    </row>
    <row r="291" spans="1:8" x14ac:dyDescent="0.25">
      <c r="A291" s="7">
        <v>97.142857142857139</v>
      </c>
      <c r="B291">
        <v>92.857142857142861</v>
      </c>
      <c r="C291" s="7">
        <v>97.142857142857139</v>
      </c>
      <c r="D291">
        <v>92.857142857142861</v>
      </c>
      <c r="E291" s="2">
        <f t="shared" si="18"/>
        <v>504</v>
      </c>
      <c r="F291" s="2">
        <f t="shared" si="19"/>
        <v>835</v>
      </c>
      <c r="G291" s="2">
        <f t="shared" si="20"/>
        <v>-331</v>
      </c>
      <c r="H291" s="2">
        <f t="shared" si="17"/>
        <v>109561</v>
      </c>
    </row>
    <row r="292" spans="1:8" x14ac:dyDescent="0.25">
      <c r="A292" s="7">
        <v>83.78378378378379</v>
      </c>
      <c r="B292">
        <v>72.41379310344827</v>
      </c>
      <c r="C292" s="7">
        <v>83.78378378378379</v>
      </c>
      <c r="D292">
        <v>72.41379310344827</v>
      </c>
      <c r="E292" s="2">
        <f t="shared" si="18"/>
        <v>219</v>
      </c>
      <c r="F292" s="2">
        <f t="shared" si="19"/>
        <v>577</v>
      </c>
      <c r="G292" s="2">
        <f t="shared" si="20"/>
        <v>-358</v>
      </c>
      <c r="H292" s="2">
        <f t="shared" si="17"/>
        <v>128164</v>
      </c>
    </row>
    <row r="293" spans="1:8" x14ac:dyDescent="0.25">
      <c r="A293" s="7">
        <v>90</v>
      </c>
      <c r="B293">
        <v>77.272727272727266</v>
      </c>
      <c r="C293" s="7">
        <v>90</v>
      </c>
      <c r="D293">
        <v>77.272727272727266</v>
      </c>
      <c r="E293" s="2">
        <f t="shared" si="18"/>
        <v>330</v>
      </c>
      <c r="F293" s="2">
        <f t="shared" si="19"/>
        <v>626</v>
      </c>
      <c r="G293" s="2">
        <f t="shared" si="20"/>
        <v>-296</v>
      </c>
      <c r="H293" s="2">
        <f t="shared" si="17"/>
        <v>87616</v>
      </c>
    </row>
    <row r="294" spans="1:8" x14ac:dyDescent="0.25">
      <c r="A294" s="7">
        <v>86.04651162790698</v>
      </c>
      <c r="B294">
        <v>81.578947368421055</v>
      </c>
      <c r="C294" s="7">
        <v>86.04651162790698</v>
      </c>
      <c r="D294">
        <v>81.578947368421055</v>
      </c>
      <c r="E294" s="2">
        <f t="shared" si="18"/>
        <v>251</v>
      </c>
      <c r="F294" s="2">
        <f t="shared" si="19"/>
        <v>663</v>
      </c>
      <c r="G294" s="2">
        <f t="shared" si="20"/>
        <v>-412</v>
      </c>
      <c r="H294" s="2">
        <f t="shared" si="17"/>
        <v>169744</v>
      </c>
    </row>
    <row r="295" spans="1:8" x14ac:dyDescent="0.25">
      <c r="A295" s="7">
        <v>91.428571428571431</v>
      </c>
      <c r="B295">
        <v>73.529411764705884</v>
      </c>
      <c r="C295" s="7">
        <v>91.428571428571431</v>
      </c>
      <c r="D295">
        <v>73.529411764705884</v>
      </c>
      <c r="E295" s="2">
        <f t="shared" si="18"/>
        <v>360.5</v>
      </c>
      <c r="F295" s="2">
        <f t="shared" si="19"/>
        <v>593</v>
      </c>
      <c r="G295" s="2">
        <f t="shared" si="20"/>
        <v>-232.5</v>
      </c>
      <c r="H295" s="2">
        <f t="shared" si="17"/>
        <v>54056.25</v>
      </c>
    </row>
    <row r="296" spans="1:8" x14ac:dyDescent="0.25">
      <c r="A296" s="7">
        <v>74</v>
      </c>
      <c r="B296">
        <v>75.757575757575751</v>
      </c>
      <c r="C296" s="7">
        <v>74</v>
      </c>
      <c r="D296">
        <v>75.757575757575751</v>
      </c>
      <c r="E296" s="2">
        <f t="shared" si="18"/>
        <v>126</v>
      </c>
      <c r="F296" s="2">
        <f t="shared" si="19"/>
        <v>617</v>
      </c>
      <c r="G296" s="2">
        <f t="shared" si="20"/>
        <v>-491</v>
      </c>
      <c r="H296" s="2">
        <f t="shared" si="17"/>
        <v>241081</v>
      </c>
    </row>
    <row r="297" spans="1:8" x14ac:dyDescent="0.25">
      <c r="A297" s="7">
        <v>98.936170212765958</v>
      </c>
      <c r="B297">
        <v>0</v>
      </c>
      <c r="C297" s="7">
        <v>98.936170212765958</v>
      </c>
      <c r="D297">
        <v>0</v>
      </c>
      <c r="E297" s="2">
        <f t="shared" si="18"/>
        <v>553.5</v>
      </c>
      <c r="F297" s="2">
        <f t="shared" si="19"/>
        <v>199.5</v>
      </c>
      <c r="G297" s="2">
        <f t="shared" si="20"/>
        <v>354</v>
      </c>
      <c r="H297" s="2">
        <f t="shared" si="17"/>
        <v>125316</v>
      </c>
    </row>
    <row r="298" spans="1:8" x14ac:dyDescent="0.25">
      <c r="A298" s="7">
        <v>100</v>
      </c>
      <c r="B298">
        <v>0</v>
      </c>
      <c r="C298" s="7">
        <v>100</v>
      </c>
      <c r="D298">
        <v>0</v>
      </c>
      <c r="E298" s="2">
        <f t="shared" si="18"/>
        <v>782</v>
      </c>
      <c r="F298" s="2">
        <f t="shared" si="19"/>
        <v>199.5</v>
      </c>
      <c r="G298" s="2">
        <f t="shared" si="20"/>
        <v>582.5</v>
      </c>
      <c r="H298" s="2">
        <f t="shared" si="17"/>
        <v>339306.25</v>
      </c>
    </row>
    <row r="299" spans="1:8" x14ac:dyDescent="0.25">
      <c r="A299" s="7">
        <v>44.444444444444443</v>
      </c>
      <c r="B299">
        <v>33.333333333333329</v>
      </c>
      <c r="C299" s="7">
        <v>44.444444444444443</v>
      </c>
      <c r="D299">
        <v>33.333333333333329</v>
      </c>
      <c r="E299" s="2">
        <f t="shared" si="18"/>
        <v>58</v>
      </c>
      <c r="F299" s="2">
        <f t="shared" si="19"/>
        <v>408</v>
      </c>
      <c r="G299" s="2">
        <f t="shared" si="20"/>
        <v>-350</v>
      </c>
      <c r="H299" s="2">
        <f t="shared" si="17"/>
        <v>122500</v>
      </c>
    </row>
    <row r="300" spans="1:8" x14ac:dyDescent="0.25">
      <c r="A300" s="7">
        <v>35</v>
      </c>
      <c r="B300">
        <v>0</v>
      </c>
      <c r="C300" s="7">
        <v>35</v>
      </c>
      <c r="D300">
        <v>0</v>
      </c>
      <c r="E300" s="2">
        <f t="shared" si="18"/>
        <v>51</v>
      </c>
      <c r="F300" s="2">
        <f t="shared" si="19"/>
        <v>199.5</v>
      </c>
      <c r="G300" s="2">
        <f t="shared" si="20"/>
        <v>-148.5</v>
      </c>
      <c r="H300" s="2">
        <f t="shared" si="17"/>
        <v>22052.25</v>
      </c>
    </row>
    <row r="301" spans="1:8" x14ac:dyDescent="0.25">
      <c r="A301" s="7">
        <v>100</v>
      </c>
      <c r="B301">
        <v>0</v>
      </c>
      <c r="C301" s="7">
        <v>100</v>
      </c>
      <c r="D301">
        <v>0</v>
      </c>
      <c r="E301" s="2">
        <f t="shared" si="18"/>
        <v>782</v>
      </c>
      <c r="F301" s="2">
        <f t="shared" si="19"/>
        <v>199.5</v>
      </c>
      <c r="G301" s="2">
        <f t="shared" si="20"/>
        <v>582.5</v>
      </c>
      <c r="H301" s="2">
        <f t="shared" si="17"/>
        <v>339306.25</v>
      </c>
    </row>
    <row r="302" spans="1:8" x14ac:dyDescent="0.25">
      <c r="A302" s="7">
        <v>100</v>
      </c>
      <c r="B302">
        <v>100</v>
      </c>
      <c r="C302" s="7">
        <v>100</v>
      </c>
      <c r="D302">
        <v>100</v>
      </c>
      <c r="E302" s="2">
        <f t="shared" si="18"/>
        <v>782</v>
      </c>
      <c r="F302" s="2">
        <f t="shared" si="19"/>
        <v>943.5</v>
      </c>
      <c r="G302" s="2">
        <f t="shared" si="20"/>
        <v>-161.5</v>
      </c>
      <c r="H302" s="2">
        <f t="shared" si="17"/>
        <v>26082.25</v>
      </c>
    </row>
    <row r="303" spans="1:8" x14ac:dyDescent="0.25">
      <c r="A303" s="7">
        <v>68.75</v>
      </c>
      <c r="B303">
        <v>69.047619047619051</v>
      </c>
      <c r="C303" s="7">
        <v>68.75</v>
      </c>
      <c r="D303">
        <v>69.047619047619051</v>
      </c>
      <c r="E303" s="2">
        <f t="shared" si="18"/>
        <v>112</v>
      </c>
      <c r="F303" s="2">
        <f t="shared" si="19"/>
        <v>545.5</v>
      </c>
      <c r="G303" s="2">
        <f t="shared" si="20"/>
        <v>-433.5</v>
      </c>
      <c r="H303" s="2">
        <f t="shared" si="17"/>
        <v>187922.25</v>
      </c>
    </row>
    <row r="304" spans="1:8" x14ac:dyDescent="0.25">
      <c r="A304" s="7">
        <v>91.666666666666657</v>
      </c>
      <c r="B304">
        <v>0</v>
      </c>
      <c r="C304" s="7">
        <v>91.666666666666657</v>
      </c>
      <c r="D304">
        <v>0</v>
      </c>
      <c r="E304" s="2">
        <f t="shared" si="18"/>
        <v>368.5</v>
      </c>
      <c r="F304" s="2">
        <f t="shared" si="19"/>
        <v>199.5</v>
      </c>
      <c r="G304" s="2">
        <f t="shared" si="20"/>
        <v>169</v>
      </c>
      <c r="H304" s="2">
        <f t="shared" si="17"/>
        <v>28561</v>
      </c>
    </row>
    <row r="305" spans="1:8" x14ac:dyDescent="0.25">
      <c r="A305" s="7">
        <v>0</v>
      </c>
      <c r="B305">
        <v>0</v>
      </c>
      <c r="C305" s="7">
        <v>0</v>
      </c>
      <c r="D305">
        <v>0</v>
      </c>
      <c r="E305" s="2">
        <f t="shared" si="18"/>
        <v>20</v>
      </c>
      <c r="F305" s="2">
        <f t="shared" si="19"/>
        <v>199.5</v>
      </c>
      <c r="G305" s="2">
        <f t="shared" si="20"/>
        <v>-179.5</v>
      </c>
      <c r="H305" s="2">
        <f t="shared" si="17"/>
        <v>32220.25</v>
      </c>
    </row>
    <row r="306" spans="1:8" x14ac:dyDescent="0.25">
      <c r="A306" s="7">
        <v>100</v>
      </c>
      <c r="B306">
        <v>58.426966292134829</v>
      </c>
      <c r="C306" s="7">
        <v>100</v>
      </c>
      <c r="D306">
        <v>58.426966292134829</v>
      </c>
      <c r="E306" s="2">
        <f t="shared" si="18"/>
        <v>782</v>
      </c>
      <c r="F306" s="2">
        <f t="shared" si="19"/>
        <v>464.5</v>
      </c>
      <c r="G306" s="2">
        <f t="shared" si="20"/>
        <v>317.5</v>
      </c>
      <c r="H306" s="2">
        <f t="shared" si="17"/>
        <v>100806.25</v>
      </c>
    </row>
    <row r="307" spans="1:8" x14ac:dyDescent="0.25">
      <c r="A307" s="7">
        <v>90.909090909090907</v>
      </c>
      <c r="B307">
        <v>0</v>
      </c>
      <c r="C307" s="7">
        <v>90.909090909090907</v>
      </c>
      <c r="D307">
        <v>0</v>
      </c>
      <c r="E307" s="2">
        <f t="shared" si="18"/>
        <v>349</v>
      </c>
      <c r="F307" s="2">
        <f t="shared" si="19"/>
        <v>199.5</v>
      </c>
      <c r="G307" s="2">
        <f t="shared" si="20"/>
        <v>149.5</v>
      </c>
      <c r="H307" s="2">
        <f t="shared" si="17"/>
        <v>22350.25</v>
      </c>
    </row>
    <row r="308" spans="1:8" x14ac:dyDescent="0.25">
      <c r="A308" s="7">
        <v>100</v>
      </c>
      <c r="B308">
        <v>71.428571428571431</v>
      </c>
      <c r="C308" s="7">
        <v>100</v>
      </c>
      <c r="D308">
        <v>71.428571428571431</v>
      </c>
      <c r="E308" s="2">
        <f t="shared" si="18"/>
        <v>782</v>
      </c>
      <c r="F308" s="2">
        <f t="shared" si="19"/>
        <v>568</v>
      </c>
      <c r="G308" s="2">
        <f t="shared" si="20"/>
        <v>214</v>
      </c>
      <c r="H308" s="2">
        <f t="shared" si="17"/>
        <v>45796</v>
      </c>
    </row>
    <row r="309" spans="1:8" x14ac:dyDescent="0.25">
      <c r="A309" s="7">
        <v>100</v>
      </c>
      <c r="B309">
        <v>0</v>
      </c>
      <c r="C309" s="7">
        <v>100</v>
      </c>
      <c r="D309">
        <v>0</v>
      </c>
      <c r="E309" s="2">
        <f t="shared" si="18"/>
        <v>782</v>
      </c>
      <c r="F309" s="2">
        <f t="shared" si="19"/>
        <v>199.5</v>
      </c>
      <c r="G309" s="2">
        <f t="shared" si="20"/>
        <v>582.5</v>
      </c>
      <c r="H309" s="2">
        <f t="shared" si="17"/>
        <v>339306.25</v>
      </c>
    </row>
    <row r="310" spans="1:8" x14ac:dyDescent="0.25">
      <c r="A310" s="7">
        <v>61.53846153846154</v>
      </c>
      <c r="B310">
        <v>52.083333333333336</v>
      </c>
      <c r="C310" s="7">
        <v>61.53846153846154</v>
      </c>
      <c r="D310">
        <v>52.083333333333336</v>
      </c>
      <c r="E310" s="2">
        <f t="shared" si="18"/>
        <v>97</v>
      </c>
      <c r="F310" s="2">
        <f t="shared" si="19"/>
        <v>440.5</v>
      </c>
      <c r="G310" s="2">
        <f t="shared" si="20"/>
        <v>-343.5</v>
      </c>
      <c r="H310" s="2">
        <f t="shared" si="17"/>
        <v>117992.25</v>
      </c>
    </row>
    <row r="311" spans="1:8" x14ac:dyDescent="0.25">
      <c r="A311" s="7">
        <v>100</v>
      </c>
      <c r="B311">
        <v>100</v>
      </c>
      <c r="C311" s="7">
        <v>100</v>
      </c>
      <c r="D311">
        <v>100</v>
      </c>
      <c r="E311" s="2">
        <f t="shared" si="18"/>
        <v>782</v>
      </c>
      <c r="F311" s="2">
        <f t="shared" si="19"/>
        <v>943.5</v>
      </c>
      <c r="G311" s="2">
        <f t="shared" si="20"/>
        <v>-161.5</v>
      </c>
      <c r="H311" s="2">
        <f t="shared" si="17"/>
        <v>26082.25</v>
      </c>
    </row>
    <row r="312" spans="1:8" x14ac:dyDescent="0.25">
      <c r="A312" s="7">
        <v>100</v>
      </c>
      <c r="B312">
        <v>0</v>
      </c>
      <c r="C312" s="7">
        <v>100</v>
      </c>
      <c r="D312">
        <v>0</v>
      </c>
      <c r="E312" s="2">
        <f t="shared" si="18"/>
        <v>782</v>
      </c>
      <c r="F312" s="2">
        <f t="shared" si="19"/>
        <v>199.5</v>
      </c>
      <c r="G312" s="2">
        <f t="shared" si="20"/>
        <v>582.5</v>
      </c>
      <c r="H312" s="2">
        <f t="shared" si="17"/>
        <v>339306.25</v>
      </c>
    </row>
    <row r="313" spans="1:8" x14ac:dyDescent="0.25">
      <c r="A313" s="7">
        <v>91.666666666666657</v>
      </c>
      <c r="B313">
        <v>50</v>
      </c>
      <c r="C313" s="7">
        <v>91.666666666666657</v>
      </c>
      <c r="D313">
        <v>50</v>
      </c>
      <c r="E313" s="2">
        <f t="shared" si="18"/>
        <v>368.5</v>
      </c>
      <c r="F313" s="2">
        <f t="shared" si="19"/>
        <v>430.5</v>
      </c>
      <c r="G313" s="2">
        <f t="shared" si="20"/>
        <v>-62</v>
      </c>
      <c r="H313" s="2">
        <f t="shared" ref="H313:H376" si="21">IF(C313="","",G313^2)</f>
        <v>3844</v>
      </c>
    </row>
    <row r="314" spans="1:8" x14ac:dyDescent="0.25">
      <c r="A314" s="7">
        <v>86.956521739130437</v>
      </c>
      <c r="B314">
        <v>67.567567567567565</v>
      </c>
      <c r="C314" s="7">
        <v>86.956521739130437</v>
      </c>
      <c r="D314">
        <v>67.567567567567565</v>
      </c>
      <c r="E314" s="2">
        <f t="shared" si="18"/>
        <v>268.5</v>
      </c>
      <c r="F314" s="2">
        <f t="shared" si="19"/>
        <v>534.5</v>
      </c>
      <c r="G314" s="2">
        <f t="shared" si="20"/>
        <v>-266</v>
      </c>
      <c r="H314" s="2">
        <f t="shared" si="21"/>
        <v>70756</v>
      </c>
    </row>
    <row r="315" spans="1:8" x14ac:dyDescent="0.25">
      <c r="A315" s="7">
        <v>94.392523364485982</v>
      </c>
      <c r="B315">
        <v>68.840579710144922</v>
      </c>
      <c r="C315" s="7">
        <v>94.392523364485982</v>
      </c>
      <c r="D315">
        <v>68.840579710144922</v>
      </c>
      <c r="E315" s="2">
        <f t="shared" si="18"/>
        <v>425</v>
      </c>
      <c r="F315" s="2">
        <f t="shared" si="19"/>
        <v>542.5</v>
      </c>
      <c r="G315" s="2">
        <f t="shared" si="20"/>
        <v>-117.5</v>
      </c>
      <c r="H315" s="2">
        <f t="shared" si="21"/>
        <v>13806.25</v>
      </c>
    </row>
    <row r="316" spans="1:8" x14ac:dyDescent="0.25">
      <c r="A316" s="7">
        <v>100</v>
      </c>
      <c r="B316">
        <v>100</v>
      </c>
      <c r="C316" s="7">
        <v>100</v>
      </c>
      <c r="D316">
        <v>100</v>
      </c>
      <c r="E316" s="2">
        <f t="shared" si="18"/>
        <v>782</v>
      </c>
      <c r="F316" s="2">
        <f t="shared" si="19"/>
        <v>943.5</v>
      </c>
      <c r="G316" s="2">
        <f t="shared" si="20"/>
        <v>-161.5</v>
      </c>
      <c r="H316" s="2">
        <f t="shared" si="21"/>
        <v>26082.25</v>
      </c>
    </row>
    <row r="317" spans="1:8" x14ac:dyDescent="0.25">
      <c r="A317" s="7">
        <v>55.555555555555557</v>
      </c>
      <c r="B317">
        <v>25</v>
      </c>
      <c r="C317" s="7">
        <v>55.555555555555557</v>
      </c>
      <c r="D317">
        <v>25</v>
      </c>
      <c r="E317" s="2">
        <f t="shared" si="18"/>
        <v>81.5</v>
      </c>
      <c r="F317" s="2">
        <f t="shared" si="19"/>
        <v>401.5</v>
      </c>
      <c r="G317" s="2">
        <f t="shared" si="20"/>
        <v>-320</v>
      </c>
      <c r="H317" s="2">
        <f t="shared" si="21"/>
        <v>102400</v>
      </c>
    </row>
    <row r="318" spans="1:8" x14ac:dyDescent="0.25">
      <c r="A318" s="7">
        <v>100</v>
      </c>
      <c r="B318">
        <v>0</v>
      </c>
      <c r="C318" s="7">
        <v>100</v>
      </c>
      <c r="D318">
        <v>0</v>
      </c>
      <c r="E318" s="2">
        <f t="shared" si="18"/>
        <v>782</v>
      </c>
      <c r="F318" s="2">
        <f t="shared" si="19"/>
        <v>199.5</v>
      </c>
      <c r="G318" s="2">
        <f t="shared" si="20"/>
        <v>582.5</v>
      </c>
      <c r="H318" s="2">
        <f t="shared" si="21"/>
        <v>339306.25</v>
      </c>
    </row>
    <row r="319" spans="1:8" x14ac:dyDescent="0.25">
      <c r="A319" s="7">
        <v>95.348837209302332</v>
      </c>
      <c r="B319">
        <v>86.131386861313857</v>
      </c>
      <c r="C319" s="7">
        <v>95.348837209302332</v>
      </c>
      <c r="D319">
        <v>86.131386861313857</v>
      </c>
      <c r="E319" s="2">
        <f t="shared" si="18"/>
        <v>450.5</v>
      </c>
      <c r="F319" s="2">
        <f t="shared" si="19"/>
        <v>729.5</v>
      </c>
      <c r="G319" s="2">
        <f t="shared" si="20"/>
        <v>-279</v>
      </c>
      <c r="H319" s="2">
        <f t="shared" si="21"/>
        <v>77841</v>
      </c>
    </row>
    <row r="320" spans="1:8" x14ac:dyDescent="0.25">
      <c r="A320" s="7">
        <v>100</v>
      </c>
      <c r="B320">
        <v>100</v>
      </c>
      <c r="C320" s="7">
        <v>100</v>
      </c>
      <c r="D320">
        <v>100</v>
      </c>
      <c r="E320" s="2">
        <f t="shared" si="18"/>
        <v>782</v>
      </c>
      <c r="F320" s="2">
        <f t="shared" si="19"/>
        <v>943.5</v>
      </c>
      <c r="G320" s="2">
        <f t="shared" si="20"/>
        <v>-161.5</v>
      </c>
      <c r="H320" s="2">
        <f t="shared" si="21"/>
        <v>26082.25</v>
      </c>
    </row>
    <row r="321" spans="1:8" x14ac:dyDescent="0.25">
      <c r="A321" s="7">
        <v>95</v>
      </c>
      <c r="B321">
        <v>50</v>
      </c>
      <c r="C321" s="7">
        <v>95</v>
      </c>
      <c r="D321">
        <v>50</v>
      </c>
      <c r="E321" s="2">
        <f t="shared" si="18"/>
        <v>438.5</v>
      </c>
      <c r="F321" s="2">
        <f t="shared" si="19"/>
        <v>430.5</v>
      </c>
      <c r="G321" s="2">
        <f t="shared" si="20"/>
        <v>8</v>
      </c>
      <c r="H321" s="2">
        <f t="shared" si="21"/>
        <v>64</v>
      </c>
    </row>
    <row r="322" spans="1:8" x14ac:dyDescent="0.25">
      <c r="A322" s="7">
        <v>100</v>
      </c>
      <c r="B322">
        <v>0</v>
      </c>
      <c r="C322" s="7">
        <v>100</v>
      </c>
      <c r="D322">
        <v>0</v>
      </c>
      <c r="E322" s="2">
        <f t="shared" si="18"/>
        <v>782</v>
      </c>
      <c r="F322" s="2">
        <f t="shared" si="19"/>
        <v>199.5</v>
      </c>
      <c r="G322" s="2">
        <f t="shared" si="20"/>
        <v>582.5</v>
      </c>
      <c r="H322" s="2">
        <f t="shared" si="21"/>
        <v>339306.25</v>
      </c>
    </row>
    <row r="323" spans="1:8" x14ac:dyDescent="0.25">
      <c r="A323" s="7">
        <v>96.078431372549019</v>
      </c>
      <c r="B323">
        <v>87.179487179487182</v>
      </c>
      <c r="C323" s="7">
        <v>96.078431372549019</v>
      </c>
      <c r="D323">
        <v>87.179487179487182</v>
      </c>
      <c r="E323" s="2">
        <f t="shared" ref="E323:E386" si="22">IF(C323="","",_xlfn.RANK.AVG(C323,C$2:C$1003,1))</f>
        <v>476.5</v>
      </c>
      <c r="F323" s="2">
        <f t="shared" ref="F323:F386" si="23">IF(D323="","",_xlfn.RANK.AVG(D323,D$2:D$1003,1))</f>
        <v>745.5</v>
      </c>
      <c r="G323" s="2">
        <f t="shared" ref="G323:G386" si="24">IF(C323="","",E323-F323)</f>
        <v>-269</v>
      </c>
      <c r="H323" s="2">
        <f t="shared" si="21"/>
        <v>72361</v>
      </c>
    </row>
    <row r="324" spans="1:8" x14ac:dyDescent="0.25">
      <c r="A324" s="7">
        <v>100</v>
      </c>
      <c r="B324">
        <v>0</v>
      </c>
      <c r="C324" s="7">
        <v>100</v>
      </c>
      <c r="D324">
        <v>0</v>
      </c>
      <c r="E324" s="2">
        <f t="shared" si="22"/>
        <v>782</v>
      </c>
      <c r="F324" s="2">
        <f t="shared" si="23"/>
        <v>199.5</v>
      </c>
      <c r="G324" s="2">
        <f t="shared" si="24"/>
        <v>582.5</v>
      </c>
      <c r="H324" s="2">
        <f t="shared" si="21"/>
        <v>339306.25</v>
      </c>
    </row>
    <row r="325" spans="1:8" x14ac:dyDescent="0.25">
      <c r="A325" s="7">
        <v>100</v>
      </c>
      <c r="B325">
        <v>52.380952380952387</v>
      </c>
      <c r="C325" s="7">
        <v>100</v>
      </c>
      <c r="D325">
        <v>52.380952380952387</v>
      </c>
      <c r="E325" s="2">
        <f t="shared" si="22"/>
        <v>782</v>
      </c>
      <c r="F325" s="2">
        <f t="shared" si="23"/>
        <v>442</v>
      </c>
      <c r="G325" s="2">
        <f t="shared" si="24"/>
        <v>340</v>
      </c>
      <c r="H325" s="2">
        <f t="shared" si="21"/>
        <v>115600</v>
      </c>
    </row>
    <row r="326" spans="1:8" x14ac:dyDescent="0.25">
      <c r="A326" s="7">
        <v>96.666666666666671</v>
      </c>
      <c r="B326">
        <v>98.12734082397003</v>
      </c>
      <c r="C326" s="7">
        <v>96.666666666666671</v>
      </c>
      <c r="D326">
        <v>98.12734082397003</v>
      </c>
      <c r="E326" s="2">
        <f t="shared" si="22"/>
        <v>493</v>
      </c>
      <c r="F326" s="2">
        <f t="shared" si="23"/>
        <v>882</v>
      </c>
      <c r="G326" s="2">
        <f t="shared" si="24"/>
        <v>-389</v>
      </c>
      <c r="H326" s="2">
        <f t="shared" si="21"/>
        <v>151321</v>
      </c>
    </row>
    <row r="327" spans="1:8" x14ac:dyDescent="0.25">
      <c r="A327" s="7">
        <v>98.550724637681171</v>
      </c>
      <c r="B327">
        <v>82.35294117647058</v>
      </c>
      <c r="C327" s="7">
        <v>98.550724637681171</v>
      </c>
      <c r="D327">
        <v>82.35294117647058</v>
      </c>
      <c r="E327" s="2">
        <f t="shared" si="22"/>
        <v>545</v>
      </c>
      <c r="F327" s="2">
        <f t="shared" si="23"/>
        <v>674</v>
      </c>
      <c r="G327" s="2">
        <f t="shared" si="24"/>
        <v>-129</v>
      </c>
      <c r="H327" s="2">
        <f t="shared" si="21"/>
        <v>16641</v>
      </c>
    </row>
    <row r="328" spans="1:8" x14ac:dyDescent="0.25">
      <c r="A328" s="7">
        <v>100</v>
      </c>
      <c r="B328">
        <v>88.888888888888886</v>
      </c>
      <c r="C328" s="7">
        <v>100</v>
      </c>
      <c r="D328">
        <v>88.888888888888886</v>
      </c>
      <c r="E328" s="2">
        <f t="shared" si="22"/>
        <v>782</v>
      </c>
      <c r="F328" s="2">
        <f t="shared" si="23"/>
        <v>777.5</v>
      </c>
      <c r="G328" s="2">
        <f t="shared" si="24"/>
        <v>4.5</v>
      </c>
      <c r="H328" s="2">
        <f t="shared" si="21"/>
        <v>20.25</v>
      </c>
    </row>
    <row r="329" spans="1:8" x14ac:dyDescent="0.25">
      <c r="A329" s="7">
        <v>98.795180722891558</v>
      </c>
      <c r="B329">
        <v>88.181818181818187</v>
      </c>
      <c r="C329" s="7">
        <v>98.795180722891558</v>
      </c>
      <c r="D329">
        <v>88.181818181818187</v>
      </c>
      <c r="E329" s="2">
        <f t="shared" si="22"/>
        <v>550</v>
      </c>
      <c r="F329" s="2">
        <f t="shared" si="23"/>
        <v>762</v>
      </c>
      <c r="G329" s="2">
        <f t="shared" si="24"/>
        <v>-212</v>
      </c>
      <c r="H329" s="2">
        <f t="shared" si="21"/>
        <v>44944</v>
      </c>
    </row>
    <row r="330" spans="1:8" x14ac:dyDescent="0.25">
      <c r="A330" s="7">
        <v>100</v>
      </c>
      <c r="B330">
        <v>88.505747126436788</v>
      </c>
      <c r="C330" s="7">
        <v>100</v>
      </c>
      <c r="D330">
        <v>88.505747126436788</v>
      </c>
      <c r="E330" s="2">
        <f t="shared" si="22"/>
        <v>782</v>
      </c>
      <c r="F330" s="2">
        <f t="shared" si="23"/>
        <v>771</v>
      </c>
      <c r="G330" s="2">
        <f t="shared" si="24"/>
        <v>11</v>
      </c>
      <c r="H330" s="2">
        <f t="shared" si="21"/>
        <v>121</v>
      </c>
    </row>
    <row r="331" spans="1:8" x14ac:dyDescent="0.25">
      <c r="A331" s="7">
        <v>100</v>
      </c>
      <c r="B331">
        <v>0</v>
      </c>
      <c r="C331" s="7">
        <v>100</v>
      </c>
      <c r="D331">
        <v>0</v>
      </c>
      <c r="E331" s="2">
        <f t="shared" si="22"/>
        <v>782</v>
      </c>
      <c r="F331" s="2">
        <f t="shared" si="23"/>
        <v>199.5</v>
      </c>
      <c r="G331" s="2">
        <f t="shared" si="24"/>
        <v>582.5</v>
      </c>
      <c r="H331" s="2">
        <f t="shared" si="21"/>
        <v>339306.25</v>
      </c>
    </row>
    <row r="332" spans="1:8" x14ac:dyDescent="0.25">
      <c r="A332" s="7">
        <v>97.674418604651152</v>
      </c>
      <c r="B332">
        <v>62.5</v>
      </c>
      <c r="C332" s="7">
        <v>97.674418604651152</v>
      </c>
      <c r="D332">
        <v>62.5</v>
      </c>
      <c r="E332" s="2">
        <f t="shared" si="22"/>
        <v>524</v>
      </c>
      <c r="F332" s="2">
        <f t="shared" si="23"/>
        <v>492</v>
      </c>
      <c r="G332" s="2">
        <f t="shared" si="24"/>
        <v>32</v>
      </c>
      <c r="H332" s="2">
        <f t="shared" si="21"/>
        <v>1024</v>
      </c>
    </row>
    <row r="333" spans="1:8" x14ac:dyDescent="0.25">
      <c r="A333" s="7">
        <v>100</v>
      </c>
      <c r="B333">
        <v>77.477477477477478</v>
      </c>
      <c r="C333" s="7">
        <v>100</v>
      </c>
      <c r="D333">
        <v>77.477477477477478</v>
      </c>
      <c r="E333" s="2">
        <f t="shared" si="22"/>
        <v>782</v>
      </c>
      <c r="F333" s="2">
        <f t="shared" si="23"/>
        <v>628</v>
      </c>
      <c r="G333" s="2">
        <f t="shared" si="24"/>
        <v>154</v>
      </c>
      <c r="H333" s="2">
        <f t="shared" si="21"/>
        <v>23716</v>
      </c>
    </row>
    <row r="334" spans="1:8" x14ac:dyDescent="0.25">
      <c r="A334" s="7">
        <v>100</v>
      </c>
      <c r="B334">
        <v>91.729323308270665</v>
      </c>
      <c r="C334" s="7">
        <v>100</v>
      </c>
      <c r="D334">
        <v>91.729323308270665</v>
      </c>
      <c r="E334" s="2">
        <f t="shared" si="22"/>
        <v>782</v>
      </c>
      <c r="F334" s="2">
        <f t="shared" si="23"/>
        <v>820</v>
      </c>
      <c r="G334" s="2">
        <f t="shared" si="24"/>
        <v>-38</v>
      </c>
      <c r="H334" s="2">
        <f t="shared" si="21"/>
        <v>1444</v>
      </c>
    </row>
    <row r="335" spans="1:8" x14ac:dyDescent="0.25">
      <c r="A335" s="7">
        <v>100</v>
      </c>
      <c r="B335">
        <v>0</v>
      </c>
      <c r="C335" s="7">
        <v>100</v>
      </c>
      <c r="D335">
        <v>0</v>
      </c>
      <c r="E335" s="2">
        <f t="shared" si="22"/>
        <v>782</v>
      </c>
      <c r="F335" s="2">
        <f t="shared" si="23"/>
        <v>199.5</v>
      </c>
      <c r="G335" s="2">
        <f t="shared" si="24"/>
        <v>582.5</v>
      </c>
      <c r="H335" s="2">
        <f t="shared" si="21"/>
        <v>339306.25</v>
      </c>
    </row>
    <row r="336" spans="1:8" x14ac:dyDescent="0.25">
      <c r="A336" s="7">
        <v>100</v>
      </c>
      <c r="B336">
        <v>0</v>
      </c>
      <c r="C336" s="7">
        <v>100</v>
      </c>
      <c r="D336">
        <v>0</v>
      </c>
      <c r="E336" s="2">
        <f t="shared" si="22"/>
        <v>782</v>
      </c>
      <c r="F336" s="2">
        <f t="shared" si="23"/>
        <v>199.5</v>
      </c>
      <c r="G336" s="2">
        <f t="shared" si="24"/>
        <v>582.5</v>
      </c>
      <c r="H336" s="2">
        <f t="shared" si="21"/>
        <v>339306.25</v>
      </c>
    </row>
    <row r="337" spans="1:8" x14ac:dyDescent="0.25">
      <c r="A337" s="7">
        <v>100</v>
      </c>
      <c r="B337">
        <v>56.60377358490566</v>
      </c>
      <c r="C337" s="7">
        <v>100</v>
      </c>
      <c r="D337">
        <v>56.60377358490566</v>
      </c>
      <c r="E337" s="2">
        <f t="shared" si="22"/>
        <v>782</v>
      </c>
      <c r="F337" s="2">
        <f t="shared" si="23"/>
        <v>455.5</v>
      </c>
      <c r="G337" s="2">
        <f t="shared" si="24"/>
        <v>326.5</v>
      </c>
      <c r="H337" s="2">
        <f t="shared" si="21"/>
        <v>106602.25</v>
      </c>
    </row>
    <row r="338" spans="1:8" x14ac:dyDescent="0.25">
      <c r="A338" s="7">
        <v>100</v>
      </c>
      <c r="B338">
        <v>0</v>
      </c>
      <c r="C338" s="7">
        <v>100</v>
      </c>
      <c r="D338">
        <v>0</v>
      </c>
      <c r="E338" s="2">
        <f t="shared" si="22"/>
        <v>782</v>
      </c>
      <c r="F338" s="2">
        <f t="shared" si="23"/>
        <v>199.5</v>
      </c>
      <c r="G338" s="2">
        <f t="shared" si="24"/>
        <v>582.5</v>
      </c>
      <c r="H338" s="2">
        <f t="shared" si="21"/>
        <v>339306.25</v>
      </c>
    </row>
    <row r="339" spans="1:8" x14ac:dyDescent="0.25">
      <c r="A339" s="7">
        <v>93.382352941176478</v>
      </c>
      <c r="B339">
        <v>82.539682539682531</v>
      </c>
      <c r="C339" s="7">
        <v>93.382352941176478</v>
      </c>
      <c r="D339">
        <v>82.539682539682531</v>
      </c>
      <c r="E339" s="2">
        <f t="shared" si="22"/>
        <v>411</v>
      </c>
      <c r="F339" s="2">
        <f t="shared" si="23"/>
        <v>678</v>
      </c>
      <c r="G339" s="2">
        <f t="shared" si="24"/>
        <v>-267</v>
      </c>
      <c r="H339" s="2">
        <f t="shared" si="21"/>
        <v>71289</v>
      </c>
    </row>
    <row r="340" spans="1:8" x14ac:dyDescent="0.25">
      <c r="A340" s="7">
        <v>100</v>
      </c>
      <c r="B340">
        <v>91.83673469387756</v>
      </c>
      <c r="C340" s="7">
        <v>100</v>
      </c>
      <c r="D340">
        <v>91.83673469387756</v>
      </c>
      <c r="E340" s="2">
        <f t="shared" si="22"/>
        <v>782</v>
      </c>
      <c r="F340" s="2">
        <f t="shared" si="23"/>
        <v>822</v>
      </c>
      <c r="G340" s="2">
        <f t="shared" si="24"/>
        <v>-40</v>
      </c>
      <c r="H340" s="2">
        <f t="shared" si="21"/>
        <v>1600</v>
      </c>
    </row>
    <row r="341" spans="1:8" x14ac:dyDescent="0.25">
      <c r="A341" s="7">
        <v>100</v>
      </c>
      <c r="B341">
        <v>73.529411764705884</v>
      </c>
      <c r="C341" s="7">
        <v>100</v>
      </c>
      <c r="D341">
        <v>73.529411764705884</v>
      </c>
      <c r="E341" s="2">
        <f t="shared" si="22"/>
        <v>782</v>
      </c>
      <c r="F341" s="2">
        <f t="shared" si="23"/>
        <v>593</v>
      </c>
      <c r="G341" s="2">
        <f t="shared" si="24"/>
        <v>189</v>
      </c>
      <c r="H341" s="2">
        <f t="shared" si="21"/>
        <v>35721</v>
      </c>
    </row>
    <row r="342" spans="1:8" x14ac:dyDescent="0.25">
      <c r="A342" s="7">
        <v>100</v>
      </c>
      <c r="B342">
        <v>92.307692307692307</v>
      </c>
      <c r="C342" s="7">
        <v>100</v>
      </c>
      <c r="D342">
        <v>92.307692307692307</v>
      </c>
      <c r="E342" s="2">
        <f t="shared" si="22"/>
        <v>782</v>
      </c>
      <c r="F342" s="2">
        <f t="shared" si="23"/>
        <v>825.5</v>
      </c>
      <c r="G342" s="2">
        <f t="shared" si="24"/>
        <v>-43.5</v>
      </c>
      <c r="H342" s="2">
        <f t="shared" si="21"/>
        <v>1892.25</v>
      </c>
    </row>
    <row r="343" spans="1:8" x14ac:dyDescent="0.25">
      <c r="A343" s="7">
        <v>100</v>
      </c>
      <c r="B343">
        <v>100</v>
      </c>
      <c r="C343" s="7">
        <v>100</v>
      </c>
      <c r="D343">
        <v>100</v>
      </c>
      <c r="E343" s="2">
        <f t="shared" si="22"/>
        <v>782</v>
      </c>
      <c r="F343" s="2">
        <f t="shared" si="23"/>
        <v>943.5</v>
      </c>
      <c r="G343" s="2">
        <f t="shared" si="24"/>
        <v>-161.5</v>
      </c>
      <c r="H343" s="2">
        <f t="shared" si="21"/>
        <v>26082.25</v>
      </c>
    </row>
    <row r="344" spans="1:8" x14ac:dyDescent="0.25">
      <c r="A344" s="7">
        <v>97.756410256410248</v>
      </c>
      <c r="B344">
        <v>66.821345707656604</v>
      </c>
      <c r="C344" s="7">
        <v>97.756410256410248</v>
      </c>
      <c r="D344">
        <v>66.821345707656604</v>
      </c>
      <c r="E344" s="2">
        <f t="shared" si="22"/>
        <v>529</v>
      </c>
      <c r="F344" s="2">
        <f t="shared" si="23"/>
        <v>529</v>
      </c>
      <c r="G344" s="2">
        <f t="shared" si="24"/>
        <v>0</v>
      </c>
      <c r="H344" s="2">
        <f t="shared" si="21"/>
        <v>0</v>
      </c>
    </row>
    <row r="345" spans="1:8" x14ac:dyDescent="0.25">
      <c r="A345" s="7">
        <v>100</v>
      </c>
      <c r="B345">
        <v>81.25</v>
      </c>
      <c r="C345" s="7">
        <v>100</v>
      </c>
      <c r="D345">
        <v>81.25</v>
      </c>
      <c r="E345" s="2">
        <f t="shared" si="22"/>
        <v>782</v>
      </c>
      <c r="F345" s="2">
        <f t="shared" si="23"/>
        <v>659</v>
      </c>
      <c r="G345" s="2">
        <f t="shared" si="24"/>
        <v>123</v>
      </c>
      <c r="H345" s="2">
        <f t="shared" si="21"/>
        <v>15129</v>
      </c>
    </row>
    <row r="346" spans="1:8" x14ac:dyDescent="0.25">
      <c r="A346" s="7">
        <v>94.871794871794862</v>
      </c>
      <c r="B346">
        <v>38.888888888888893</v>
      </c>
      <c r="C346" s="7">
        <v>94.871794871794862</v>
      </c>
      <c r="D346">
        <v>38.888888888888893</v>
      </c>
      <c r="E346" s="2">
        <f t="shared" si="22"/>
        <v>437</v>
      </c>
      <c r="F346" s="2">
        <f t="shared" si="23"/>
        <v>412</v>
      </c>
      <c r="G346" s="2">
        <f t="shared" si="24"/>
        <v>25</v>
      </c>
      <c r="H346" s="2">
        <f t="shared" si="21"/>
        <v>625</v>
      </c>
    </row>
    <row r="347" spans="1:8" x14ac:dyDescent="0.25">
      <c r="A347" s="7">
        <v>100</v>
      </c>
      <c r="B347">
        <v>93.75</v>
      </c>
      <c r="C347" s="7">
        <v>100</v>
      </c>
      <c r="D347">
        <v>93.75</v>
      </c>
      <c r="E347" s="2">
        <f t="shared" si="22"/>
        <v>782</v>
      </c>
      <c r="F347" s="2">
        <f t="shared" si="23"/>
        <v>848</v>
      </c>
      <c r="G347" s="2">
        <f t="shared" si="24"/>
        <v>-66</v>
      </c>
      <c r="H347" s="2">
        <f t="shared" si="21"/>
        <v>4356</v>
      </c>
    </row>
    <row r="348" spans="1:8" x14ac:dyDescent="0.25">
      <c r="A348" s="7">
        <v>100</v>
      </c>
      <c r="B348">
        <v>82.35294117647058</v>
      </c>
      <c r="C348" s="7">
        <v>100</v>
      </c>
      <c r="D348">
        <v>82.35294117647058</v>
      </c>
      <c r="E348" s="2">
        <f t="shared" si="22"/>
        <v>782</v>
      </c>
      <c r="F348" s="2">
        <f t="shared" si="23"/>
        <v>674</v>
      </c>
      <c r="G348" s="2">
        <f t="shared" si="24"/>
        <v>108</v>
      </c>
      <c r="H348" s="2">
        <f t="shared" si="21"/>
        <v>11664</v>
      </c>
    </row>
    <row r="349" spans="1:8" x14ac:dyDescent="0.25">
      <c r="A349" s="7">
        <v>100</v>
      </c>
      <c r="B349">
        <v>87.179487179487182</v>
      </c>
      <c r="C349" s="7">
        <v>100</v>
      </c>
      <c r="D349">
        <v>87.179487179487182</v>
      </c>
      <c r="E349" s="2">
        <f t="shared" si="22"/>
        <v>782</v>
      </c>
      <c r="F349" s="2">
        <f t="shared" si="23"/>
        <v>745.5</v>
      </c>
      <c r="G349" s="2">
        <f t="shared" si="24"/>
        <v>36.5</v>
      </c>
      <c r="H349" s="2">
        <f t="shared" si="21"/>
        <v>1332.25</v>
      </c>
    </row>
    <row r="350" spans="1:8" x14ac:dyDescent="0.25">
      <c r="A350" s="7">
        <v>33.333333333333329</v>
      </c>
      <c r="B350">
        <v>0</v>
      </c>
      <c r="C350" s="7">
        <v>33.333333333333329</v>
      </c>
      <c r="D350">
        <v>0</v>
      </c>
      <c r="E350" s="2">
        <f t="shared" si="22"/>
        <v>48.5</v>
      </c>
      <c r="F350" s="2">
        <f t="shared" si="23"/>
        <v>199.5</v>
      </c>
      <c r="G350" s="2">
        <f t="shared" si="24"/>
        <v>-151</v>
      </c>
      <c r="H350" s="2">
        <f t="shared" si="21"/>
        <v>22801</v>
      </c>
    </row>
    <row r="351" spans="1:8" x14ac:dyDescent="0.25">
      <c r="A351" s="7">
        <v>97.560975609756099</v>
      </c>
      <c r="B351">
        <v>0</v>
      </c>
      <c r="C351" s="7">
        <v>97.560975609756099</v>
      </c>
      <c r="D351">
        <v>0</v>
      </c>
      <c r="E351" s="2">
        <f t="shared" si="22"/>
        <v>519.5</v>
      </c>
      <c r="F351" s="2">
        <f t="shared" si="23"/>
        <v>199.5</v>
      </c>
      <c r="G351" s="2">
        <f t="shared" si="24"/>
        <v>320</v>
      </c>
      <c r="H351" s="2">
        <f t="shared" si="21"/>
        <v>102400</v>
      </c>
    </row>
    <row r="352" spans="1:8" x14ac:dyDescent="0.25">
      <c r="A352" s="7">
        <v>89.473684210526315</v>
      </c>
      <c r="B352">
        <v>71.428571428571431</v>
      </c>
      <c r="C352" s="7">
        <v>89.473684210526315</v>
      </c>
      <c r="D352">
        <v>71.428571428571431</v>
      </c>
      <c r="E352" s="2">
        <f t="shared" si="22"/>
        <v>313.5</v>
      </c>
      <c r="F352" s="2">
        <f t="shared" si="23"/>
        <v>568</v>
      </c>
      <c r="G352" s="2">
        <f t="shared" si="24"/>
        <v>-254.5</v>
      </c>
      <c r="H352" s="2">
        <f t="shared" si="21"/>
        <v>64770.25</v>
      </c>
    </row>
    <row r="353" spans="1:8" x14ac:dyDescent="0.25">
      <c r="A353" s="7">
        <v>94.780219780219781</v>
      </c>
      <c r="B353">
        <v>86.483839373163562</v>
      </c>
      <c r="C353" s="7">
        <v>94.780219780219781</v>
      </c>
      <c r="D353">
        <v>86.483839373163562</v>
      </c>
      <c r="E353" s="2">
        <f t="shared" si="22"/>
        <v>434</v>
      </c>
      <c r="F353" s="2">
        <f t="shared" si="23"/>
        <v>734</v>
      </c>
      <c r="G353" s="2">
        <f t="shared" si="24"/>
        <v>-300</v>
      </c>
      <c r="H353" s="2">
        <f t="shared" si="21"/>
        <v>90000</v>
      </c>
    </row>
    <row r="354" spans="1:8" x14ac:dyDescent="0.25">
      <c r="A354" s="7">
        <v>78.688524590163937</v>
      </c>
      <c r="B354">
        <v>73.831775700934571</v>
      </c>
      <c r="C354" s="7">
        <v>78.688524590163937</v>
      </c>
      <c r="D354">
        <v>73.831775700934571</v>
      </c>
      <c r="E354" s="2">
        <f t="shared" si="22"/>
        <v>168</v>
      </c>
      <c r="F354" s="2">
        <f t="shared" si="23"/>
        <v>599</v>
      </c>
      <c r="G354" s="2">
        <f t="shared" si="24"/>
        <v>-431</v>
      </c>
      <c r="H354" s="2">
        <f t="shared" si="21"/>
        <v>185761</v>
      </c>
    </row>
    <row r="355" spans="1:8" x14ac:dyDescent="0.25">
      <c r="A355" s="7">
        <v>100</v>
      </c>
      <c r="B355">
        <v>0</v>
      </c>
      <c r="C355" s="7">
        <v>100</v>
      </c>
      <c r="D355">
        <v>0</v>
      </c>
      <c r="E355" s="2">
        <f t="shared" si="22"/>
        <v>782</v>
      </c>
      <c r="F355" s="2">
        <f t="shared" si="23"/>
        <v>199.5</v>
      </c>
      <c r="G355" s="2">
        <f t="shared" si="24"/>
        <v>582.5</v>
      </c>
      <c r="H355" s="2">
        <f t="shared" si="21"/>
        <v>339306.25</v>
      </c>
    </row>
    <row r="356" spans="1:8" x14ac:dyDescent="0.25">
      <c r="A356" s="7">
        <v>97.916666666666657</v>
      </c>
      <c r="B356">
        <v>68.421052631578945</v>
      </c>
      <c r="C356" s="7">
        <v>97.916666666666657</v>
      </c>
      <c r="D356">
        <v>68.421052631578945</v>
      </c>
      <c r="E356" s="2">
        <f t="shared" si="22"/>
        <v>532</v>
      </c>
      <c r="F356" s="2">
        <f t="shared" si="23"/>
        <v>539</v>
      </c>
      <c r="G356" s="2">
        <f t="shared" si="24"/>
        <v>-7</v>
      </c>
      <c r="H356" s="2">
        <f t="shared" si="21"/>
        <v>49</v>
      </c>
    </row>
    <row r="357" spans="1:8" x14ac:dyDescent="0.25">
      <c r="A357" s="7">
        <v>87.5</v>
      </c>
      <c r="B357">
        <v>0</v>
      </c>
      <c r="C357" s="7">
        <v>87.5</v>
      </c>
      <c r="D357">
        <v>0</v>
      </c>
      <c r="E357" s="2">
        <f t="shared" si="22"/>
        <v>279.5</v>
      </c>
      <c r="F357" s="2">
        <f t="shared" si="23"/>
        <v>199.5</v>
      </c>
      <c r="G357" s="2">
        <f t="shared" si="24"/>
        <v>80</v>
      </c>
      <c r="H357" s="2">
        <f t="shared" si="21"/>
        <v>6400</v>
      </c>
    </row>
    <row r="358" spans="1:8" x14ac:dyDescent="0.25">
      <c r="A358" s="7">
        <v>83.333333333333343</v>
      </c>
      <c r="B358">
        <v>0</v>
      </c>
      <c r="C358" s="7">
        <v>83.333333333333343</v>
      </c>
      <c r="D358">
        <v>0</v>
      </c>
      <c r="E358" s="2">
        <f t="shared" si="22"/>
        <v>212.5</v>
      </c>
      <c r="F358" s="2">
        <f t="shared" si="23"/>
        <v>199.5</v>
      </c>
      <c r="G358" s="2">
        <f t="shared" si="24"/>
        <v>13</v>
      </c>
      <c r="H358" s="2">
        <f t="shared" si="21"/>
        <v>169</v>
      </c>
    </row>
    <row r="359" spans="1:8" x14ac:dyDescent="0.25">
      <c r="A359" s="7">
        <v>96.428571428571431</v>
      </c>
      <c r="B359">
        <v>95.833333333333343</v>
      </c>
      <c r="C359" s="7">
        <v>96.428571428571431</v>
      </c>
      <c r="D359">
        <v>95.833333333333343</v>
      </c>
      <c r="E359" s="2">
        <f t="shared" si="22"/>
        <v>483</v>
      </c>
      <c r="F359" s="2">
        <f t="shared" si="23"/>
        <v>864.5</v>
      </c>
      <c r="G359" s="2">
        <f t="shared" si="24"/>
        <v>-381.5</v>
      </c>
      <c r="H359" s="2">
        <f t="shared" si="21"/>
        <v>145542.25</v>
      </c>
    </row>
    <row r="360" spans="1:8" x14ac:dyDescent="0.25">
      <c r="A360" s="7">
        <v>100</v>
      </c>
      <c r="B360">
        <v>97.857142857142847</v>
      </c>
      <c r="C360" s="7">
        <v>100</v>
      </c>
      <c r="D360">
        <v>97.857142857142847</v>
      </c>
      <c r="E360" s="2">
        <f t="shared" si="22"/>
        <v>782</v>
      </c>
      <c r="F360" s="2">
        <f t="shared" si="23"/>
        <v>879</v>
      </c>
      <c r="G360" s="2">
        <f t="shared" si="24"/>
        <v>-97</v>
      </c>
      <c r="H360" s="2">
        <f t="shared" si="21"/>
        <v>9409</v>
      </c>
    </row>
    <row r="361" spans="1:8" x14ac:dyDescent="0.25">
      <c r="A361" s="7">
        <v>96.067415730337075</v>
      </c>
      <c r="B361">
        <v>0</v>
      </c>
      <c r="C361" s="7">
        <v>96.067415730337075</v>
      </c>
      <c r="D361">
        <v>0</v>
      </c>
      <c r="E361" s="2">
        <f t="shared" si="22"/>
        <v>475</v>
      </c>
      <c r="F361" s="2">
        <f t="shared" si="23"/>
        <v>199.5</v>
      </c>
      <c r="G361" s="2">
        <f t="shared" si="24"/>
        <v>275.5</v>
      </c>
      <c r="H361" s="2">
        <f t="shared" si="21"/>
        <v>75900.25</v>
      </c>
    </row>
    <row r="362" spans="1:8" x14ac:dyDescent="0.25">
      <c r="A362" s="7">
        <v>97.409326424870471</v>
      </c>
      <c r="B362">
        <v>84.239130434782609</v>
      </c>
      <c r="C362" s="7">
        <v>97.409326424870471</v>
      </c>
      <c r="D362">
        <v>84.239130434782609</v>
      </c>
      <c r="E362" s="2">
        <f t="shared" si="22"/>
        <v>514</v>
      </c>
      <c r="F362" s="2">
        <f t="shared" si="23"/>
        <v>698</v>
      </c>
      <c r="G362" s="2">
        <f t="shared" si="24"/>
        <v>-184</v>
      </c>
      <c r="H362" s="2">
        <f t="shared" si="21"/>
        <v>33856</v>
      </c>
    </row>
    <row r="363" spans="1:8" x14ac:dyDescent="0.25">
      <c r="A363" s="7">
        <v>100</v>
      </c>
      <c r="B363">
        <v>0</v>
      </c>
      <c r="C363" s="7">
        <v>100</v>
      </c>
      <c r="D363">
        <v>0</v>
      </c>
      <c r="E363" s="2">
        <f t="shared" si="22"/>
        <v>782</v>
      </c>
      <c r="F363" s="2">
        <f t="shared" si="23"/>
        <v>199.5</v>
      </c>
      <c r="G363" s="2">
        <f t="shared" si="24"/>
        <v>582.5</v>
      </c>
      <c r="H363" s="2">
        <f t="shared" si="21"/>
        <v>339306.25</v>
      </c>
    </row>
    <row r="364" spans="1:8" x14ac:dyDescent="0.25">
      <c r="A364" s="7">
        <v>96.92307692307692</v>
      </c>
      <c r="B364">
        <v>0</v>
      </c>
      <c r="C364" s="7">
        <v>96.92307692307692</v>
      </c>
      <c r="D364">
        <v>0</v>
      </c>
      <c r="E364" s="2">
        <f t="shared" si="22"/>
        <v>500</v>
      </c>
      <c r="F364" s="2">
        <f t="shared" si="23"/>
        <v>199.5</v>
      </c>
      <c r="G364" s="2">
        <f t="shared" si="24"/>
        <v>300.5</v>
      </c>
      <c r="H364" s="2">
        <f t="shared" si="21"/>
        <v>90300.25</v>
      </c>
    </row>
    <row r="365" spans="1:8" x14ac:dyDescent="0.25">
      <c r="A365" s="7">
        <v>100</v>
      </c>
      <c r="B365">
        <v>0</v>
      </c>
      <c r="C365" s="7">
        <v>100</v>
      </c>
      <c r="D365">
        <v>0</v>
      </c>
      <c r="E365" s="2">
        <f t="shared" si="22"/>
        <v>782</v>
      </c>
      <c r="F365" s="2">
        <f t="shared" si="23"/>
        <v>199.5</v>
      </c>
      <c r="G365" s="2">
        <f t="shared" si="24"/>
        <v>582.5</v>
      </c>
      <c r="H365" s="2">
        <f t="shared" si="21"/>
        <v>339306.25</v>
      </c>
    </row>
    <row r="366" spans="1:8" x14ac:dyDescent="0.25">
      <c r="A366" s="7">
        <v>74.193548387096769</v>
      </c>
      <c r="B366">
        <v>52.631578947368418</v>
      </c>
      <c r="C366" s="7">
        <v>74.193548387096769</v>
      </c>
      <c r="D366">
        <v>52.631578947368418</v>
      </c>
      <c r="E366" s="2">
        <f t="shared" si="22"/>
        <v>128</v>
      </c>
      <c r="F366" s="2">
        <f t="shared" si="23"/>
        <v>443.5</v>
      </c>
      <c r="G366" s="2">
        <f t="shared" si="24"/>
        <v>-315.5</v>
      </c>
      <c r="H366" s="2">
        <f t="shared" si="21"/>
        <v>99540.25</v>
      </c>
    </row>
    <row r="367" spans="1:8" x14ac:dyDescent="0.25">
      <c r="A367" s="7">
        <v>62.5</v>
      </c>
      <c r="B367">
        <v>0</v>
      </c>
      <c r="C367" s="7">
        <v>62.5</v>
      </c>
      <c r="D367">
        <v>0</v>
      </c>
      <c r="E367" s="2">
        <f t="shared" si="22"/>
        <v>99.5</v>
      </c>
      <c r="F367" s="2">
        <f t="shared" si="23"/>
        <v>199.5</v>
      </c>
      <c r="G367" s="2">
        <f t="shared" si="24"/>
        <v>-100</v>
      </c>
      <c r="H367" s="2">
        <f t="shared" si="21"/>
        <v>10000</v>
      </c>
    </row>
    <row r="368" spans="1:8" x14ac:dyDescent="0.25">
      <c r="A368" s="7">
        <v>100</v>
      </c>
      <c r="B368">
        <v>0</v>
      </c>
      <c r="C368" s="7">
        <v>100</v>
      </c>
      <c r="D368">
        <v>0</v>
      </c>
      <c r="E368" s="2">
        <f t="shared" si="22"/>
        <v>782</v>
      </c>
      <c r="F368" s="2">
        <f t="shared" si="23"/>
        <v>199.5</v>
      </c>
      <c r="G368" s="2">
        <f t="shared" si="24"/>
        <v>582.5</v>
      </c>
      <c r="H368" s="2">
        <f t="shared" si="21"/>
        <v>339306.25</v>
      </c>
    </row>
    <row r="369" spans="1:8" x14ac:dyDescent="0.25">
      <c r="A369" s="7">
        <v>95.833333333333343</v>
      </c>
      <c r="B369">
        <v>0</v>
      </c>
      <c r="C369" s="7">
        <v>95.833333333333343</v>
      </c>
      <c r="D369">
        <v>0</v>
      </c>
      <c r="E369" s="2">
        <f t="shared" si="22"/>
        <v>467</v>
      </c>
      <c r="F369" s="2">
        <f t="shared" si="23"/>
        <v>199.5</v>
      </c>
      <c r="G369" s="2">
        <f t="shared" si="24"/>
        <v>267.5</v>
      </c>
      <c r="H369" s="2">
        <f t="shared" si="21"/>
        <v>71556.25</v>
      </c>
    </row>
    <row r="370" spans="1:8" x14ac:dyDescent="0.25">
      <c r="A370" s="7">
        <v>71.428571428571431</v>
      </c>
      <c r="B370">
        <v>0</v>
      </c>
      <c r="C370" s="7">
        <v>71.428571428571431</v>
      </c>
      <c r="D370">
        <v>0</v>
      </c>
      <c r="E370" s="2">
        <f t="shared" si="22"/>
        <v>118</v>
      </c>
      <c r="F370" s="2">
        <f t="shared" si="23"/>
        <v>199.5</v>
      </c>
      <c r="G370" s="2">
        <f t="shared" si="24"/>
        <v>-81.5</v>
      </c>
      <c r="H370" s="2">
        <f t="shared" si="21"/>
        <v>6642.25</v>
      </c>
    </row>
    <row r="371" spans="1:8" x14ac:dyDescent="0.25">
      <c r="A371" s="7">
        <v>100</v>
      </c>
      <c r="B371">
        <v>0</v>
      </c>
      <c r="C371" s="7">
        <v>100</v>
      </c>
      <c r="D371">
        <v>0</v>
      </c>
      <c r="E371" s="2">
        <f t="shared" si="22"/>
        <v>782</v>
      </c>
      <c r="F371" s="2">
        <f t="shared" si="23"/>
        <v>199.5</v>
      </c>
      <c r="G371" s="2">
        <f t="shared" si="24"/>
        <v>582.5</v>
      </c>
      <c r="H371" s="2">
        <f t="shared" si="21"/>
        <v>339306.25</v>
      </c>
    </row>
    <row r="372" spans="1:8" x14ac:dyDescent="0.25">
      <c r="A372" s="7">
        <v>100</v>
      </c>
      <c r="B372">
        <v>0</v>
      </c>
      <c r="C372" s="7">
        <v>100</v>
      </c>
      <c r="D372">
        <v>0</v>
      </c>
      <c r="E372" s="2">
        <f t="shared" si="22"/>
        <v>782</v>
      </c>
      <c r="F372" s="2">
        <f t="shared" si="23"/>
        <v>199.5</v>
      </c>
      <c r="G372" s="2">
        <f t="shared" si="24"/>
        <v>582.5</v>
      </c>
      <c r="H372" s="2">
        <f t="shared" si="21"/>
        <v>339306.25</v>
      </c>
    </row>
    <row r="373" spans="1:8" x14ac:dyDescent="0.25">
      <c r="A373" s="7">
        <v>98.101265822784811</v>
      </c>
      <c r="B373">
        <v>94.666666666666671</v>
      </c>
      <c r="C373" s="7">
        <v>98.101265822784811</v>
      </c>
      <c r="D373">
        <v>94.666666666666671</v>
      </c>
      <c r="E373" s="2">
        <f t="shared" si="22"/>
        <v>536</v>
      </c>
      <c r="F373" s="2">
        <f t="shared" si="23"/>
        <v>856</v>
      </c>
      <c r="G373" s="2">
        <f t="shared" si="24"/>
        <v>-320</v>
      </c>
      <c r="H373" s="2">
        <f t="shared" si="21"/>
        <v>102400</v>
      </c>
    </row>
    <row r="374" spans="1:8" x14ac:dyDescent="0.25">
      <c r="A374" s="7">
        <v>75</v>
      </c>
      <c r="B374">
        <v>0</v>
      </c>
      <c r="C374" s="7">
        <v>75</v>
      </c>
      <c r="D374">
        <v>0</v>
      </c>
      <c r="E374" s="2">
        <f t="shared" si="22"/>
        <v>139</v>
      </c>
      <c r="F374" s="2">
        <f t="shared" si="23"/>
        <v>199.5</v>
      </c>
      <c r="G374" s="2">
        <f t="shared" si="24"/>
        <v>-60.5</v>
      </c>
      <c r="H374" s="2">
        <f t="shared" si="21"/>
        <v>3660.25</v>
      </c>
    </row>
    <row r="375" spans="1:8" x14ac:dyDescent="0.25">
      <c r="A375" s="7">
        <v>98.82352941176471</v>
      </c>
      <c r="B375">
        <v>88.888888888888886</v>
      </c>
      <c r="C375" s="7">
        <v>98.82352941176471</v>
      </c>
      <c r="D375">
        <v>88.888888888888886</v>
      </c>
      <c r="E375" s="2">
        <f t="shared" si="22"/>
        <v>551</v>
      </c>
      <c r="F375" s="2">
        <f t="shared" si="23"/>
        <v>777.5</v>
      </c>
      <c r="G375" s="2">
        <f t="shared" si="24"/>
        <v>-226.5</v>
      </c>
      <c r="H375" s="2">
        <f t="shared" si="21"/>
        <v>51302.25</v>
      </c>
    </row>
    <row r="376" spans="1:8" x14ac:dyDescent="0.25">
      <c r="A376" s="7">
        <v>98.545454545454547</v>
      </c>
      <c r="B376">
        <v>82.366071428571431</v>
      </c>
      <c r="C376" s="7">
        <v>98.545454545454547</v>
      </c>
      <c r="D376">
        <v>82.366071428571431</v>
      </c>
      <c r="E376" s="2">
        <f t="shared" si="22"/>
        <v>544</v>
      </c>
      <c r="F376" s="2">
        <f t="shared" si="23"/>
        <v>677</v>
      </c>
      <c r="G376" s="2">
        <f t="shared" si="24"/>
        <v>-133</v>
      </c>
      <c r="H376" s="2">
        <f t="shared" si="21"/>
        <v>17689</v>
      </c>
    </row>
    <row r="377" spans="1:8" x14ac:dyDescent="0.25">
      <c r="A377" s="7">
        <v>83.333333333333343</v>
      </c>
      <c r="B377">
        <v>0</v>
      </c>
      <c r="C377" s="7">
        <v>83.333333333333343</v>
      </c>
      <c r="D377">
        <v>0</v>
      </c>
      <c r="E377" s="2">
        <f t="shared" si="22"/>
        <v>212.5</v>
      </c>
      <c r="F377" s="2">
        <f t="shared" si="23"/>
        <v>199.5</v>
      </c>
      <c r="G377" s="2">
        <f t="shared" si="24"/>
        <v>13</v>
      </c>
      <c r="H377" s="2">
        <f t="shared" ref="H377:H440" si="25">IF(C377="","",G377^2)</f>
        <v>169</v>
      </c>
    </row>
    <row r="378" spans="1:8" x14ac:dyDescent="0.25">
      <c r="A378" s="7">
        <v>100</v>
      </c>
      <c r="B378">
        <v>0</v>
      </c>
      <c r="C378" s="7">
        <v>100</v>
      </c>
      <c r="D378">
        <v>0</v>
      </c>
      <c r="E378" s="2">
        <f t="shared" si="22"/>
        <v>782</v>
      </c>
      <c r="F378" s="2">
        <f t="shared" si="23"/>
        <v>199.5</v>
      </c>
      <c r="G378" s="2">
        <f t="shared" si="24"/>
        <v>582.5</v>
      </c>
      <c r="H378" s="2">
        <f t="shared" si="25"/>
        <v>339306.25</v>
      </c>
    </row>
    <row r="379" spans="1:8" x14ac:dyDescent="0.25">
      <c r="A379" s="7">
        <v>100</v>
      </c>
      <c r="B379">
        <v>0</v>
      </c>
      <c r="C379" s="7">
        <v>100</v>
      </c>
      <c r="D379">
        <v>0</v>
      </c>
      <c r="E379" s="2">
        <f t="shared" si="22"/>
        <v>782</v>
      </c>
      <c r="F379" s="2">
        <f t="shared" si="23"/>
        <v>199.5</v>
      </c>
      <c r="G379" s="2">
        <f t="shared" si="24"/>
        <v>582.5</v>
      </c>
      <c r="H379" s="2">
        <f t="shared" si="25"/>
        <v>339306.25</v>
      </c>
    </row>
    <row r="380" spans="1:8" x14ac:dyDescent="0.25">
      <c r="A380" s="7">
        <v>100</v>
      </c>
      <c r="B380">
        <v>0</v>
      </c>
      <c r="C380" s="7">
        <v>100</v>
      </c>
      <c r="D380">
        <v>0</v>
      </c>
      <c r="E380" s="2">
        <f t="shared" si="22"/>
        <v>782</v>
      </c>
      <c r="F380" s="2">
        <f t="shared" si="23"/>
        <v>199.5</v>
      </c>
      <c r="G380" s="2">
        <f t="shared" si="24"/>
        <v>582.5</v>
      </c>
      <c r="H380" s="2">
        <f t="shared" si="25"/>
        <v>339306.25</v>
      </c>
    </row>
    <row r="381" spans="1:8" x14ac:dyDescent="0.25">
      <c r="A381" s="7">
        <v>0</v>
      </c>
      <c r="B381">
        <v>0</v>
      </c>
      <c r="C381" s="7">
        <v>0</v>
      </c>
      <c r="D381">
        <v>0</v>
      </c>
      <c r="E381" s="2">
        <f t="shared" si="22"/>
        <v>20</v>
      </c>
      <c r="F381" s="2">
        <f t="shared" si="23"/>
        <v>199.5</v>
      </c>
      <c r="G381" s="2">
        <f t="shared" si="24"/>
        <v>-179.5</v>
      </c>
      <c r="H381" s="2">
        <f t="shared" si="25"/>
        <v>32220.25</v>
      </c>
    </row>
    <row r="382" spans="1:8" x14ac:dyDescent="0.25">
      <c r="A382" s="7">
        <v>100</v>
      </c>
      <c r="B382">
        <v>0</v>
      </c>
      <c r="C382" s="7">
        <v>100</v>
      </c>
      <c r="D382">
        <v>0</v>
      </c>
      <c r="E382" s="2">
        <f t="shared" si="22"/>
        <v>782</v>
      </c>
      <c r="F382" s="2">
        <f t="shared" si="23"/>
        <v>199.5</v>
      </c>
      <c r="G382" s="2">
        <f t="shared" si="24"/>
        <v>582.5</v>
      </c>
      <c r="H382" s="2">
        <f t="shared" si="25"/>
        <v>339306.25</v>
      </c>
    </row>
    <row r="383" spans="1:8" x14ac:dyDescent="0.25">
      <c r="A383" s="7">
        <v>100</v>
      </c>
      <c r="B383">
        <v>95.876288659793815</v>
      </c>
      <c r="C383" s="7">
        <v>100</v>
      </c>
      <c r="D383">
        <v>95.876288659793815</v>
      </c>
      <c r="E383" s="2">
        <f t="shared" si="22"/>
        <v>782</v>
      </c>
      <c r="F383" s="2">
        <f t="shared" si="23"/>
        <v>866</v>
      </c>
      <c r="G383" s="2">
        <f t="shared" si="24"/>
        <v>-84</v>
      </c>
      <c r="H383" s="2">
        <f t="shared" si="25"/>
        <v>7056</v>
      </c>
    </row>
    <row r="384" spans="1:8" x14ac:dyDescent="0.25">
      <c r="A384" s="7">
        <v>45.283018867924532</v>
      </c>
      <c r="B384">
        <v>30.76923076923077</v>
      </c>
      <c r="C384" s="7">
        <v>45.283018867924532</v>
      </c>
      <c r="D384">
        <v>30.76923076923077</v>
      </c>
      <c r="E384" s="2">
        <f t="shared" si="22"/>
        <v>59</v>
      </c>
      <c r="F384" s="2">
        <f t="shared" si="23"/>
        <v>404.5</v>
      </c>
      <c r="G384" s="2">
        <f t="shared" si="24"/>
        <v>-345.5</v>
      </c>
      <c r="H384" s="2">
        <f t="shared" si="25"/>
        <v>119370.25</v>
      </c>
    </row>
    <row r="385" spans="1:8" x14ac:dyDescent="0.25">
      <c r="A385" s="7">
        <v>100</v>
      </c>
      <c r="B385">
        <v>0</v>
      </c>
      <c r="C385" s="7">
        <v>100</v>
      </c>
      <c r="D385">
        <v>0</v>
      </c>
      <c r="E385" s="2">
        <f t="shared" si="22"/>
        <v>782</v>
      </c>
      <c r="F385" s="2">
        <f t="shared" si="23"/>
        <v>199.5</v>
      </c>
      <c r="G385" s="2">
        <f t="shared" si="24"/>
        <v>582.5</v>
      </c>
      <c r="H385" s="2">
        <f t="shared" si="25"/>
        <v>339306.25</v>
      </c>
    </row>
    <row r="386" spans="1:8" x14ac:dyDescent="0.25">
      <c r="A386" s="7">
        <v>100</v>
      </c>
      <c r="B386">
        <v>0</v>
      </c>
      <c r="C386" s="7">
        <v>100</v>
      </c>
      <c r="D386">
        <v>0</v>
      </c>
      <c r="E386" s="2">
        <f t="shared" si="22"/>
        <v>782</v>
      </c>
      <c r="F386" s="2">
        <f t="shared" si="23"/>
        <v>199.5</v>
      </c>
      <c r="G386" s="2">
        <f t="shared" si="24"/>
        <v>582.5</v>
      </c>
      <c r="H386" s="2">
        <f t="shared" si="25"/>
        <v>339306.25</v>
      </c>
    </row>
    <row r="387" spans="1:8" x14ac:dyDescent="0.25">
      <c r="A387" s="7">
        <v>100</v>
      </c>
      <c r="B387">
        <v>0</v>
      </c>
      <c r="C387" s="7">
        <v>100</v>
      </c>
      <c r="D387">
        <v>0</v>
      </c>
      <c r="E387" s="2">
        <f t="shared" ref="E387:E450" si="26">IF(C387="","",_xlfn.RANK.AVG(C387,C$2:C$1003,1))</f>
        <v>782</v>
      </c>
      <c r="F387" s="2">
        <f t="shared" ref="F387:F450" si="27">IF(D387="","",_xlfn.RANK.AVG(D387,D$2:D$1003,1))</f>
        <v>199.5</v>
      </c>
      <c r="G387" s="2">
        <f t="shared" ref="G387:G450" si="28">IF(C387="","",E387-F387)</f>
        <v>582.5</v>
      </c>
      <c r="H387" s="2">
        <f t="shared" si="25"/>
        <v>339306.25</v>
      </c>
    </row>
    <row r="388" spans="1:8" x14ac:dyDescent="0.25">
      <c r="A388" s="7">
        <v>100</v>
      </c>
      <c r="B388">
        <v>0</v>
      </c>
      <c r="C388" s="7">
        <v>100</v>
      </c>
      <c r="D388">
        <v>0</v>
      </c>
      <c r="E388" s="2">
        <f t="shared" si="26"/>
        <v>782</v>
      </c>
      <c r="F388" s="2">
        <f t="shared" si="27"/>
        <v>199.5</v>
      </c>
      <c r="G388" s="2">
        <f t="shared" si="28"/>
        <v>582.5</v>
      </c>
      <c r="H388" s="2">
        <f t="shared" si="25"/>
        <v>339306.25</v>
      </c>
    </row>
    <row r="389" spans="1:8" x14ac:dyDescent="0.25">
      <c r="A389" s="7">
        <v>100</v>
      </c>
      <c r="B389">
        <v>0</v>
      </c>
      <c r="C389" s="7">
        <v>100</v>
      </c>
      <c r="D389">
        <v>0</v>
      </c>
      <c r="E389" s="2">
        <f t="shared" si="26"/>
        <v>782</v>
      </c>
      <c r="F389" s="2">
        <f t="shared" si="27"/>
        <v>199.5</v>
      </c>
      <c r="G389" s="2">
        <f t="shared" si="28"/>
        <v>582.5</v>
      </c>
      <c r="H389" s="2">
        <f t="shared" si="25"/>
        <v>339306.25</v>
      </c>
    </row>
    <row r="390" spans="1:8" x14ac:dyDescent="0.25">
      <c r="A390" s="7">
        <v>100</v>
      </c>
      <c r="B390">
        <v>0</v>
      </c>
      <c r="C390" s="7">
        <v>100</v>
      </c>
      <c r="D390">
        <v>0</v>
      </c>
      <c r="E390" s="2">
        <f t="shared" si="26"/>
        <v>782</v>
      </c>
      <c r="F390" s="2">
        <f t="shared" si="27"/>
        <v>199.5</v>
      </c>
      <c r="G390" s="2">
        <f t="shared" si="28"/>
        <v>582.5</v>
      </c>
      <c r="H390" s="2">
        <f t="shared" si="25"/>
        <v>339306.25</v>
      </c>
    </row>
    <row r="391" spans="1:8" x14ac:dyDescent="0.25">
      <c r="A391" s="7">
        <v>92.131147540983605</v>
      </c>
      <c r="B391">
        <v>84.662576687116569</v>
      </c>
      <c r="C391" s="7">
        <v>92.131147540983605</v>
      </c>
      <c r="D391">
        <v>84.662576687116569</v>
      </c>
      <c r="E391" s="2">
        <f t="shared" si="26"/>
        <v>384</v>
      </c>
      <c r="F391" s="2">
        <f t="shared" si="27"/>
        <v>709</v>
      </c>
      <c r="G391" s="2">
        <f t="shared" si="28"/>
        <v>-325</v>
      </c>
      <c r="H391" s="2">
        <f t="shared" si="25"/>
        <v>105625</v>
      </c>
    </row>
    <row r="392" spans="1:8" x14ac:dyDescent="0.25">
      <c r="A392" s="7">
        <v>86.730506155950749</v>
      </c>
      <c r="B392">
        <v>79.030558482613273</v>
      </c>
      <c r="C392" s="7">
        <v>86.730506155950749</v>
      </c>
      <c r="D392">
        <v>79.030558482613273</v>
      </c>
      <c r="E392" s="2">
        <f t="shared" si="26"/>
        <v>260</v>
      </c>
      <c r="F392" s="2">
        <f t="shared" si="27"/>
        <v>642</v>
      </c>
      <c r="G392" s="2">
        <f t="shared" si="28"/>
        <v>-382</v>
      </c>
      <c r="H392" s="2">
        <f t="shared" si="25"/>
        <v>145924</v>
      </c>
    </row>
    <row r="393" spans="1:8" x14ac:dyDescent="0.25">
      <c r="A393" s="7">
        <v>92.123287671232873</v>
      </c>
      <c r="B393">
        <v>79.820627802690581</v>
      </c>
      <c r="C393" s="7">
        <v>92.123287671232873</v>
      </c>
      <c r="D393">
        <v>79.820627802690581</v>
      </c>
      <c r="E393" s="2">
        <f t="shared" si="26"/>
        <v>383</v>
      </c>
      <c r="F393" s="2">
        <f t="shared" si="27"/>
        <v>646</v>
      </c>
      <c r="G393" s="2">
        <f t="shared" si="28"/>
        <v>-263</v>
      </c>
      <c r="H393" s="2">
        <f t="shared" si="25"/>
        <v>69169</v>
      </c>
    </row>
    <row r="394" spans="1:8" x14ac:dyDescent="0.25">
      <c r="A394" s="7">
        <v>100</v>
      </c>
      <c r="B394">
        <v>0</v>
      </c>
      <c r="C394" s="7">
        <v>100</v>
      </c>
      <c r="D394">
        <v>0</v>
      </c>
      <c r="E394" s="2">
        <f t="shared" si="26"/>
        <v>782</v>
      </c>
      <c r="F394" s="2">
        <f t="shared" si="27"/>
        <v>199.5</v>
      </c>
      <c r="G394" s="2">
        <f t="shared" si="28"/>
        <v>582.5</v>
      </c>
      <c r="H394" s="2">
        <f t="shared" si="25"/>
        <v>339306.25</v>
      </c>
    </row>
    <row r="395" spans="1:8" x14ac:dyDescent="0.25">
      <c r="A395" s="7">
        <v>82</v>
      </c>
      <c r="B395">
        <v>75.714285714285708</v>
      </c>
      <c r="C395" s="7">
        <v>82</v>
      </c>
      <c r="D395">
        <v>75.714285714285708</v>
      </c>
      <c r="E395" s="2">
        <f t="shared" si="26"/>
        <v>193.5</v>
      </c>
      <c r="F395" s="2">
        <f t="shared" si="27"/>
        <v>616</v>
      </c>
      <c r="G395" s="2">
        <f t="shared" si="28"/>
        <v>-422.5</v>
      </c>
      <c r="H395" s="2">
        <f t="shared" si="25"/>
        <v>178506.25</v>
      </c>
    </row>
    <row r="396" spans="1:8" x14ac:dyDescent="0.25">
      <c r="A396" s="7">
        <v>88.442211055276388</v>
      </c>
      <c r="B396">
        <v>75.862068965517238</v>
      </c>
      <c r="C396" s="7">
        <v>88.442211055276388</v>
      </c>
      <c r="D396">
        <v>75.862068965517238</v>
      </c>
      <c r="E396" s="2">
        <f t="shared" si="26"/>
        <v>289</v>
      </c>
      <c r="F396" s="2">
        <f t="shared" si="27"/>
        <v>618</v>
      </c>
      <c r="G396" s="2">
        <f t="shared" si="28"/>
        <v>-329</v>
      </c>
      <c r="H396" s="2">
        <f t="shared" si="25"/>
        <v>108241</v>
      </c>
    </row>
    <row r="397" spans="1:8" x14ac:dyDescent="0.25">
      <c r="A397" s="7">
        <v>98.701298701298697</v>
      </c>
      <c r="B397">
        <v>95.412844036697251</v>
      </c>
      <c r="C397" s="7">
        <v>98.701298701298697</v>
      </c>
      <c r="D397">
        <v>95.412844036697251</v>
      </c>
      <c r="E397" s="2">
        <f t="shared" si="26"/>
        <v>547</v>
      </c>
      <c r="F397" s="2">
        <f t="shared" si="27"/>
        <v>862</v>
      </c>
      <c r="G397" s="2">
        <f t="shared" si="28"/>
        <v>-315</v>
      </c>
      <c r="H397" s="2">
        <f t="shared" si="25"/>
        <v>99225</v>
      </c>
    </row>
    <row r="398" spans="1:8" x14ac:dyDescent="0.25">
      <c r="A398" s="7">
        <v>83.333333333333343</v>
      </c>
      <c r="B398">
        <v>0</v>
      </c>
      <c r="C398" s="7">
        <v>83.333333333333343</v>
      </c>
      <c r="D398">
        <v>0</v>
      </c>
      <c r="E398" s="2">
        <f t="shared" si="26"/>
        <v>212.5</v>
      </c>
      <c r="F398" s="2">
        <f t="shared" si="27"/>
        <v>199.5</v>
      </c>
      <c r="G398" s="2">
        <f t="shared" si="28"/>
        <v>13</v>
      </c>
      <c r="H398" s="2">
        <f t="shared" si="25"/>
        <v>169</v>
      </c>
    </row>
    <row r="399" spans="1:8" x14ac:dyDescent="0.25">
      <c r="A399" s="7">
        <v>83.333333333333343</v>
      </c>
      <c r="B399">
        <v>0</v>
      </c>
      <c r="C399" s="7">
        <v>83.333333333333343</v>
      </c>
      <c r="D399">
        <v>0</v>
      </c>
      <c r="E399" s="2">
        <f t="shared" si="26"/>
        <v>212.5</v>
      </c>
      <c r="F399" s="2">
        <f t="shared" si="27"/>
        <v>199.5</v>
      </c>
      <c r="G399" s="2">
        <f t="shared" si="28"/>
        <v>13</v>
      </c>
      <c r="H399" s="2">
        <f t="shared" si="25"/>
        <v>169</v>
      </c>
    </row>
    <row r="400" spans="1:8" x14ac:dyDescent="0.25">
      <c r="A400" s="7">
        <v>89.230769230769241</v>
      </c>
      <c r="B400">
        <v>75.675675675675677</v>
      </c>
      <c r="C400" s="7">
        <v>89.230769230769241</v>
      </c>
      <c r="D400">
        <v>75.675675675675677</v>
      </c>
      <c r="E400" s="2">
        <f t="shared" si="26"/>
        <v>307.5</v>
      </c>
      <c r="F400" s="2">
        <f t="shared" si="27"/>
        <v>615</v>
      </c>
      <c r="G400" s="2">
        <f t="shared" si="28"/>
        <v>-307.5</v>
      </c>
      <c r="H400" s="2">
        <f t="shared" si="25"/>
        <v>94556.25</v>
      </c>
    </row>
    <row r="401" spans="1:8" x14ac:dyDescent="0.25">
      <c r="A401" s="7">
        <v>70</v>
      </c>
      <c r="B401">
        <v>0</v>
      </c>
      <c r="C401" s="7">
        <v>70</v>
      </c>
      <c r="D401">
        <v>0</v>
      </c>
      <c r="E401" s="2">
        <f t="shared" si="26"/>
        <v>114.5</v>
      </c>
      <c r="F401" s="2">
        <f t="shared" si="27"/>
        <v>199.5</v>
      </c>
      <c r="G401" s="2">
        <f t="shared" si="28"/>
        <v>-85</v>
      </c>
      <c r="H401" s="2">
        <f t="shared" si="25"/>
        <v>7225</v>
      </c>
    </row>
    <row r="402" spans="1:8" x14ac:dyDescent="0.25">
      <c r="A402" s="7">
        <v>95.833333333333343</v>
      </c>
      <c r="B402">
        <v>83.333333333333343</v>
      </c>
      <c r="C402" s="7">
        <v>95.833333333333343</v>
      </c>
      <c r="D402">
        <v>83.333333333333343</v>
      </c>
      <c r="E402" s="2">
        <f t="shared" si="26"/>
        <v>467</v>
      </c>
      <c r="F402" s="2">
        <f t="shared" si="27"/>
        <v>687</v>
      </c>
      <c r="G402" s="2">
        <f t="shared" si="28"/>
        <v>-220</v>
      </c>
      <c r="H402" s="2">
        <f t="shared" si="25"/>
        <v>48400</v>
      </c>
    </row>
    <row r="403" spans="1:8" x14ac:dyDescent="0.25">
      <c r="A403" s="7">
        <v>100</v>
      </c>
      <c r="B403">
        <v>0</v>
      </c>
      <c r="C403" s="7">
        <v>100</v>
      </c>
      <c r="D403">
        <v>0</v>
      </c>
      <c r="E403" s="2">
        <f t="shared" si="26"/>
        <v>782</v>
      </c>
      <c r="F403" s="2">
        <f t="shared" si="27"/>
        <v>199.5</v>
      </c>
      <c r="G403" s="2">
        <f t="shared" si="28"/>
        <v>582.5</v>
      </c>
      <c r="H403" s="2">
        <f t="shared" si="25"/>
        <v>339306.25</v>
      </c>
    </row>
    <row r="404" spans="1:8" x14ac:dyDescent="0.25">
      <c r="A404" s="7">
        <v>60</v>
      </c>
      <c r="B404">
        <v>0</v>
      </c>
      <c r="C404" s="7">
        <v>60</v>
      </c>
      <c r="D404">
        <v>0</v>
      </c>
      <c r="E404" s="2">
        <f t="shared" si="26"/>
        <v>88.5</v>
      </c>
      <c r="F404" s="2">
        <f t="shared" si="27"/>
        <v>199.5</v>
      </c>
      <c r="G404" s="2">
        <f t="shared" si="28"/>
        <v>-111</v>
      </c>
      <c r="H404" s="2">
        <f t="shared" si="25"/>
        <v>12321</v>
      </c>
    </row>
    <row r="405" spans="1:8" x14ac:dyDescent="0.25">
      <c r="A405" s="7">
        <v>75</v>
      </c>
      <c r="B405">
        <v>0</v>
      </c>
      <c r="C405" s="7">
        <v>75</v>
      </c>
      <c r="D405">
        <v>0</v>
      </c>
      <c r="E405" s="2">
        <f t="shared" si="26"/>
        <v>139</v>
      </c>
      <c r="F405" s="2">
        <f t="shared" si="27"/>
        <v>199.5</v>
      </c>
      <c r="G405" s="2">
        <f t="shared" si="28"/>
        <v>-60.5</v>
      </c>
      <c r="H405" s="2">
        <f t="shared" si="25"/>
        <v>3660.25</v>
      </c>
    </row>
    <row r="406" spans="1:8" x14ac:dyDescent="0.25">
      <c r="A406" s="7">
        <v>100</v>
      </c>
      <c r="B406">
        <v>0</v>
      </c>
      <c r="C406" s="7">
        <v>100</v>
      </c>
      <c r="D406">
        <v>0</v>
      </c>
      <c r="E406" s="2">
        <f t="shared" si="26"/>
        <v>782</v>
      </c>
      <c r="F406" s="2">
        <f t="shared" si="27"/>
        <v>199.5</v>
      </c>
      <c r="G406" s="2">
        <f t="shared" si="28"/>
        <v>582.5</v>
      </c>
      <c r="H406" s="2">
        <f t="shared" si="25"/>
        <v>339306.25</v>
      </c>
    </row>
    <row r="407" spans="1:8" x14ac:dyDescent="0.25">
      <c r="A407" s="7">
        <v>87.412587412587413</v>
      </c>
      <c r="B407">
        <v>74.299065420560751</v>
      </c>
      <c r="C407" s="7">
        <v>87.412587412587413</v>
      </c>
      <c r="D407">
        <v>74.299065420560751</v>
      </c>
      <c r="E407" s="2">
        <f t="shared" si="26"/>
        <v>274</v>
      </c>
      <c r="F407" s="2">
        <f t="shared" si="27"/>
        <v>601</v>
      </c>
      <c r="G407" s="2">
        <f t="shared" si="28"/>
        <v>-327</v>
      </c>
      <c r="H407" s="2">
        <f t="shared" si="25"/>
        <v>106929</v>
      </c>
    </row>
    <row r="408" spans="1:8" x14ac:dyDescent="0.25">
      <c r="A408" s="7">
        <v>84</v>
      </c>
      <c r="B408">
        <v>57.142857142857139</v>
      </c>
      <c r="C408" s="7">
        <v>84</v>
      </c>
      <c r="D408">
        <v>57.142857142857139</v>
      </c>
      <c r="E408" s="2">
        <f t="shared" si="26"/>
        <v>222</v>
      </c>
      <c r="F408" s="2">
        <f t="shared" si="27"/>
        <v>459</v>
      </c>
      <c r="G408" s="2">
        <f t="shared" si="28"/>
        <v>-237</v>
      </c>
      <c r="H408" s="2">
        <f t="shared" si="25"/>
        <v>56169</v>
      </c>
    </row>
    <row r="409" spans="1:8" x14ac:dyDescent="0.25">
      <c r="A409" s="7">
        <v>98.952879581151834</v>
      </c>
      <c r="B409">
        <v>86.111111111111114</v>
      </c>
      <c r="C409" s="7">
        <v>98.952879581151834</v>
      </c>
      <c r="D409">
        <v>86.111111111111114</v>
      </c>
      <c r="E409" s="2">
        <f t="shared" si="26"/>
        <v>555</v>
      </c>
      <c r="F409" s="2">
        <f t="shared" si="27"/>
        <v>728</v>
      </c>
      <c r="G409" s="2">
        <f t="shared" si="28"/>
        <v>-173</v>
      </c>
      <c r="H409" s="2">
        <f t="shared" si="25"/>
        <v>29929</v>
      </c>
    </row>
    <row r="410" spans="1:8" x14ac:dyDescent="0.25">
      <c r="A410" s="7">
        <v>90.616621983914214</v>
      </c>
      <c r="B410">
        <v>79.075425790754267</v>
      </c>
      <c r="C410" s="7">
        <v>90.616621983914214</v>
      </c>
      <c r="D410">
        <v>79.075425790754267</v>
      </c>
      <c r="E410" s="2">
        <f t="shared" si="26"/>
        <v>343</v>
      </c>
      <c r="F410" s="2">
        <f t="shared" si="27"/>
        <v>643</v>
      </c>
      <c r="G410" s="2">
        <f t="shared" si="28"/>
        <v>-300</v>
      </c>
      <c r="H410" s="2">
        <f t="shared" si="25"/>
        <v>90000</v>
      </c>
    </row>
    <row r="411" spans="1:8" x14ac:dyDescent="0.25">
      <c r="A411" s="7">
        <v>100</v>
      </c>
      <c r="B411">
        <v>100</v>
      </c>
      <c r="C411" s="7">
        <v>100</v>
      </c>
      <c r="D411">
        <v>100</v>
      </c>
      <c r="E411" s="2">
        <f t="shared" si="26"/>
        <v>782</v>
      </c>
      <c r="F411" s="2">
        <f t="shared" si="27"/>
        <v>943.5</v>
      </c>
      <c r="G411" s="2">
        <f t="shared" si="28"/>
        <v>-161.5</v>
      </c>
      <c r="H411" s="2">
        <f t="shared" si="25"/>
        <v>26082.25</v>
      </c>
    </row>
    <row r="412" spans="1:8" x14ac:dyDescent="0.25">
      <c r="A412" s="7">
        <v>100</v>
      </c>
      <c r="B412">
        <v>0</v>
      </c>
      <c r="C412" s="7">
        <v>100</v>
      </c>
      <c r="D412">
        <v>0</v>
      </c>
      <c r="E412" s="2">
        <f t="shared" si="26"/>
        <v>782</v>
      </c>
      <c r="F412" s="2">
        <f t="shared" si="27"/>
        <v>199.5</v>
      </c>
      <c r="G412" s="2">
        <f t="shared" si="28"/>
        <v>582.5</v>
      </c>
      <c r="H412" s="2">
        <f t="shared" si="25"/>
        <v>339306.25</v>
      </c>
    </row>
    <row r="413" spans="1:8" x14ac:dyDescent="0.25">
      <c r="A413" s="7">
        <v>89.622641509433961</v>
      </c>
      <c r="B413">
        <v>74.603174603174608</v>
      </c>
      <c r="C413" s="7">
        <v>89.622641509433961</v>
      </c>
      <c r="D413">
        <v>74.603174603174608</v>
      </c>
      <c r="E413" s="2">
        <f t="shared" si="26"/>
        <v>317</v>
      </c>
      <c r="F413" s="2">
        <f t="shared" si="27"/>
        <v>603</v>
      </c>
      <c r="G413" s="2">
        <f t="shared" si="28"/>
        <v>-286</v>
      </c>
      <c r="H413" s="2">
        <f t="shared" si="25"/>
        <v>81796</v>
      </c>
    </row>
    <row r="414" spans="1:8" x14ac:dyDescent="0.25">
      <c r="A414" s="7">
        <v>87.5</v>
      </c>
      <c r="B414">
        <v>0</v>
      </c>
      <c r="C414" s="7">
        <v>87.5</v>
      </c>
      <c r="D414">
        <v>0</v>
      </c>
      <c r="E414" s="2">
        <f t="shared" si="26"/>
        <v>279.5</v>
      </c>
      <c r="F414" s="2">
        <f t="shared" si="27"/>
        <v>199.5</v>
      </c>
      <c r="G414" s="2">
        <f t="shared" si="28"/>
        <v>80</v>
      </c>
      <c r="H414" s="2">
        <f t="shared" si="25"/>
        <v>6400</v>
      </c>
    </row>
    <row r="415" spans="1:8" x14ac:dyDescent="0.25">
      <c r="A415" s="7">
        <v>100</v>
      </c>
      <c r="B415">
        <v>0</v>
      </c>
      <c r="C415" s="7">
        <v>100</v>
      </c>
      <c r="D415">
        <v>0</v>
      </c>
      <c r="E415" s="2">
        <f t="shared" si="26"/>
        <v>782</v>
      </c>
      <c r="F415" s="2">
        <f t="shared" si="27"/>
        <v>199.5</v>
      </c>
      <c r="G415" s="2">
        <f t="shared" si="28"/>
        <v>582.5</v>
      </c>
      <c r="H415" s="2">
        <f t="shared" si="25"/>
        <v>339306.25</v>
      </c>
    </row>
    <row r="416" spans="1:8" x14ac:dyDescent="0.25">
      <c r="A416" s="7">
        <v>99.056603773584911</v>
      </c>
      <c r="B416">
        <v>85.836909871244643</v>
      </c>
      <c r="C416" s="7">
        <v>99.056603773584911</v>
      </c>
      <c r="D416">
        <v>85.836909871244643</v>
      </c>
      <c r="E416" s="2">
        <f t="shared" si="26"/>
        <v>557</v>
      </c>
      <c r="F416" s="2">
        <f t="shared" si="27"/>
        <v>725</v>
      </c>
      <c r="G416" s="2">
        <f t="shared" si="28"/>
        <v>-168</v>
      </c>
      <c r="H416" s="2">
        <f t="shared" si="25"/>
        <v>28224</v>
      </c>
    </row>
    <row r="417" spans="1:8" x14ac:dyDescent="0.25">
      <c r="A417" s="7">
        <v>0</v>
      </c>
      <c r="B417">
        <v>0</v>
      </c>
      <c r="C417" s="7">
        <v>0</v>
      </c>
      <c r="D417">
        <v>0</v>
      </c>
      <c r="E417" s="2">
        <f t="shared" si="26"/>
        <v>20</v>
      </c>
      <c r="F417" s="2">
        <f t="shared" si="27"/>
        <v>199.5</v>
      </c>
      <c r="G417" s="2">
        <f t="shared" si="28"/>
        <v>-179.5</v>
      </c>
      <c r="H417" s="2">
        <f t="shared" si="25"/>
        <v>32220.25</v>
      </c>
    </row>
    <row r="418" spans="1:8" x14ac:dyDescent="0.25">
      <c r="A418" s="7">
        <v>50</v>
      </c>
      <c r="B418">
        <v>0</v>
      </c>
      <c r="C418" s="7">
        <v>50</v>
      </c>
      <c r="D418">
        <v>0</v>
      </c>
      <c r="E418" s="2">
        <f t="shared" si="26"/>
        <v>69</v>
      </c>
      <c r="F418" s="2">
        <f t="shared" si="27"/>
        <v>199.5</v>
      </c>
      <c r="G418" s="2">
        <f t="shared" si="28"/>
        <v>-130.5</v>
      </c>
      <c r="H418" s="2">
        <f t="shared" si="25"/>
        <v>17030.25</v>
      </c>
    </row>
    <row r="419" spans="1:8" x14ac:dyDescent="0.25">
      <c r="A419" s="7">
        <v>81.494661921708186</v>
      </c>
      <c r="B419">
        <v>82.648401826484019</v>
      </c>
      <c r="C419" s="7">
        <v>81.494661921708186</v>
      </c>
      <c r="D419">
        <v>82.648401826484019</v>
      </c>
      <c r="E419" s="2">
        <f t="shared" si="26"/>
        <v>188</v>
      </c>
      <c r="F419" s="2">
        <f t="shared" si="27"/>
        <v>681</v>
      </c>
      <c r="G419" s="2">
        <f t="shared" si="28"/>
        <v>-493</v>
      </c>
      <c r="H419" s="2">
        <f t="shared" si="25"/>
        <v>243049</v>
      </c>
    </row>
    <row r="420" spans="1:8" x14ac:dyDescent="0.25">
      <c r="A420" s="7">
        <v>100</v>
      </c>
      <c r="B420">
        <v>97.814207650273218</v>
      </c>
      <c r="C420" s="7">
        <v>100</v>
      </c>
      <c r="D420">
        <v>97.814207650273218</v>
      </c>
      <c r="E420" s="2">
        <f t="shared" si="26"/>
        <v>782</v>
      </c>
      <c r="F420" s="2">
        <f t="shared" si="27"/>
        <v>878</v>
      </c>
      <c r="G420" s="2">
        <f t="shared" si="28"/>
        <v>-96</v>
      </c>
      <c r="H420" s="2">
        <f t="shared" si="25"/>
        <v>9216</v>
      </c>
    </row>
    <row r="421" spans="1:8" x14ac:dyDescent="0.25">
      <c r="A421" s="7">
        <v>100</v>
      </c>
      <c r="B421">
        <v>0</v>
      </c>
      <c r="C421" s="7">
        <v>100</v>
      </c>
      <c r="D421">
        <v>0</v>
      </c>
      <c r="E421" s="2">
        <f t="shared" si="26"/>
        <v>782</v>
      </c>
      <c r="F421" s="2">
        <f t="shared" si="27"/>
        <v>199.5</v>
      </c>
      <c r="G421" s="2">
        <f t="shared" si="28"/>
        <v>582.5</v>
      </c>
      <c r="H421" s="2">
        <f t="shared" si="25"/>
        <v>339306.25</v>
      </c>
    </row>
    <row r="422" spans="1:8" x14ac:dyDescent="0.25">
      <c r="A422" s="7">
        <v>79.834254143646405</v>
      </c>
      <c r="B422">
        <v>59.717314487632514</v>
      </c>
      <c r="C422" s="7">
        <v>79.834254143646405</v>
      </c>
      <c r="D422">
        <v>59.717314487632514</v>
      </c>
      <c r="E422" s="2">
        <f t="shared" si="26"/>
        <v>174</v>
      </c>
      <c r="F422" s="2">
        <f t="shared" si="27"/>
        <v>472</v>
      </c>
      <c r="G422" s="2">
        <f t="shared" si="28"/>
        <v>-298</v>
      </c>
      <c r="H422" s="2">
        <f t="shared" si="25"/>
        <v>88804</v>
      </c>
    </row>
    <row r="423" spans="1:8" x14ac:dyDescent="0.25">
      <c r="A423" s="7">
        <v>95.555555555555557</v>
      </c>
      <c r="B423">
        <v>0</v>
      </c>
      <c r="C423" s="7">
        <v>95.555555555555557</v>
      </c>
      <c r="D423">
        <v>0</v>
      </c>
      <c r="E423" s="2">
        <f t="shared" si="26"/>
        <v>459.5</v>
      </c>
      <c r="F423" s="2">
        <f t="shared" si="27"/>
        <v>199.5</v>
      </c>
      <c r="G423" s="2">
        <f t="shared" si="28"/>
        <v>260</v>
      </c>
      <c r="H423" s="2">
        <f t="shared" si="25"/>
        <v>67600</v>
      </c>
    </row>
    <row r="424" spans="1:8" x14ac:dyDescent="0.25">
      <c r="A424" s="7">
        <v>100</v>
      </c>
      <c r="B424">
        <v>96.644295302013433</v>
      </c>
      <c r="C424" s="7">
        <v>100</v>
      </c>
      <c r="D424">
        <v>96.644295302013433</v>
      </c>
      <c r="E424" s="2">
        <f t="shared" si="26"/>
        <v>782</v>
      </c>
      <c r="F424" s="2">
        <f t="shared" si="27"/>
        <v>870</v>
      </c>
      <c r="G424" s="2">
        <f t="shared" si="28"/>
        <v>-88</v>
      </c>
      <c r="H424" s="2">
        <f t="shared" si="25"/>
        <v>7744</v>
      </c>
    </row>
    <row r="425" spans="1:8" x14ac:dyDescent="0.25">
      <c r="A425" s="7">
        <v>89.705882352941174</v>
      </c>
      <c r="B425">
        <v>55.882352941176471</v>
      </c>
      <c r="C425" s="7">
        <v>89.705882352941174</v>
      </c>
      <c r="D425">
        <v>55.882352941176471</v>
      </c>
      <c r="E425" s="2">
        <f t="shared" si="26"/>
        <v>322.5</v>
      </c>
      <c r="F425" s="2">
        <f t="shared" si="27"/>
        <v>453</v>
      </c>
      <c r="G425" s="2">
        <f t="shared" si="28"/>
        <v>-130.5</v>
      </c>
      <c r="H425" s="2">
        <f t="shared" si="25"/>
        <v>17030.25</v>
      </c>
    </row>
    <row r="426" spans="1:8" x14ac:dyDescent="0.25">
      <c r="A426" s="7">
        <v>98.876404494382015</v>
      </c>
      <c r="B426">
        <v>96.774193548387103</v>
      </c>
      <c r="C426" s="7">
        <v>98.876404494382015</v>
      </c>
      <c r="D426">
        <v>96.774193548387103</v>
      </c>
      <c r="E426" s="2">
        <f t="shared" si="26"/>
        <v>552</v>
      </c>
      <c r="F426" s="2">
        <f t="shared" si="27"/>
        <v>871</v>
      </c>
      <c r="G426" s="2">
        <f t="shared" si="28"/>
        <v>-319</v>
      </c>
      <c r="H426" s="2">
        <f t="shared" si="25"/>
        <v>101761</v>
      </c>
    </row>
    <row r="427" spans="1:8" x14ac:dyDescent="0.25">
      <c r="A427" s="7">
        <v>86.36363636363636</v>
      </c>
      <c r="B427">
        <v>0</v>
      </c>
      <c r="C427" s="7">
        <v>86.36363636363636</v>
      </c>
      <c r="D427">
        <v>0</v>
      </c>
      <c r="E427" s="2">
        <f t="shared" si="26"/>
        <v>255.5</v>
      </c>
      <c r="F427" s="2">
        <f t="shared" si="27"/>
        <v>199.5</v>
      </c>
      <c r="G427" s="2">
        <f t="shared" si="28"/>
        <v>56</v>
      </c>
      <c r="H427" s="2">
        <f t="shared" si="25"/>
        <v>3136</v>
      </c>
    </row>
    <row r="428" spans="1:8" x14ac:dyDescent="0.25">
      <c r="A428" s="7">
        <v>100</v>
      </c>
      <c r="B428">
        <v>0</v>
      </c>
      <c r="C428" s="7">
        <v>100</v>
      </c>
      <c r="D428">
        <v>0</v>
      </c>
      <c r="E428" s="2">
        <f t="shared" si="26"/>
        <v>782</v>
      </c>
      <c r="F428" s="2">
        <f t="shared" si="27"/>
        <v>199.5</v>
      </c>
      <c r="G428" s="2">
        <f t="shared" si="28"/>
        <v>582.5</v>
      </c>
      <c r="H428" s="2">
        <f t="shared" si="25"/>
        <v>339306.25</v>
      </c>
    </row>
    <row r="429" spans="1:8" x14ac:dyDescent="0.25">
      <c r="A429" s="7">
        <v>62.962962962962962</v>
      </c>
      <c r="B429">
        <v>30.76923076923077</v>
      </c>
      <c r="C429" s="7">
        <v>62.962962962962962</v>
      </c>
      <c r="D429">
        <v>30.76923076923077</v>
      </c>
      <c r="E429" s="2">
        <f t="shared" si="26"/>
        <v>101</v>
      </c>
      <c r="F429" s="2">
        <f t="shared" si="27"/>
        <v>404.5</v>
      </c>
      <c r="G429" s="2">
        <f t="shared" si="28"/>
        <v>-303.5</v>
      </c>
      <c r="H429" s="2">
        <f t="shared" si="25"/>
        <v>92112.25</v>
      </c>
    </row>
    <row r="430" spans="1:8" x14ac:dyDescent="0.25">
      <c r="A430" s="7">
        <v>96.747967479674799</v>
      </c>
      <c r="B430">
        <v>87.951807228915655</v>
      </c>
      <c r="C430" s="7">
        <v>96.747967479674799</v>
      </c>
      <c r="D430">
        <v>87.951807228915655</v>
      </c>
      <c r="E430" s="2">
        <f t="shared" si="26"/>
        <v>498</v>
      </c>
      <c r="F430" s="2">
        <f t="shared" si="27"/>
        <v>759</v>
      </c>
      <c r="G430" s="2">
        <f t="shared" si="28"/>
        <v>-261</v>
      </c>
      <c r="H430" s="2">
        <f t="shared" si="25"/>
        <v>68121</v>
      </c>
    </row>
    <row r="431" spans="1:8" x14ac:dyDescent="0.25">
      <c r="A431" s="7">
        <v>75</v>
      </c>
      <c r="B431">
        <v>100</v>
      </c>
      <c r="C431" s="7">
        <v>75</v>
      </c>
      <c r="D431">
        <v>100</v>
      </c>
      <c r="E431" s="2">
        <f t="shared" si="26"/>
        <v>139</v>
      </c>
      <c r="F431" s="2">
        <f t="shared" si="27"/>
        <v>943.5</v>
      </c>
      <c r="G431" s="2">
        <f t="shared" si="28"/>
        <v>-804.5</v>
      </c>
      <c r="H431" s="2">
        <f t="shared" si="25"/>
        <v>647220.25</v>
      </c>
    </row>
    <row r="432" spans="1:8" x14ac:dyDescent="0.25">
      <c r="A432" s="7">
        <v>79.775280898876403</v>
      </c>
      <c r="B432">
        <v>58.82352941176471</v>
      </c>
      <c r="C432" s="7">
        <v>79.775280898876403</v>
      </c>
      <c r="D432">
        <v>58.82352941176471</v>
      </c>
      <c r="E432" s="2">
        <f t="shared" si="26"/>
        <v>173</v>
      </c>
      <c r="F432" s="2">
        <f t="shared" si="27"/>
        <v>467.5</v>
      </c>
      <c r="G432" s="2">
        <f t="shared" si="28"/>
        <v>-294.5</v>
      </c>
      <c r="H432" s="2">
        <f t="shared" si="25"/>
        <v>86730.25</v>
      </c>
    </row>
    <row r="433" spans="1:8" x14ac:dyDescent="0.25">
      <c r="A433" s="7">
        <v>75</v>
      </c>
      <c r="B433">
        <v>100</v>
      </c>
      <c r="C433" s="7">
        <v>75</v>
      </c>
      <c r="D433">
        <v>100</v>
      </c>
      <c r="E433" s="2">
        <f t="shared" si="26"/>
        <v>139</v>
      </c>
      <c r="F433" s="2">
        <f t="shared" si="27"/>
        <v>943.5</v>
      </c>
      <c r="G433" s="2">
        <f t="shared" si="28"/>
        <v>-804.5</v>
      </c>
      <c r="H433" s="2">
        <f t="shared" si="25"/>
        <v>647220.25</v>
      </c>
    </row>
    <row r="434" spans="1:8" x14ac:dyDescent="0.25">
      <c r="A434" s="7">
        <v>75</v>
      </c>
      <c r="B434">
        <v>75</v>
      </c>
      <c r="C434" s="7">
        <v>75</v>
      </c>
      <c r="D434">
        <v>75</v>
      </c>
      <c r="E434" s="2">
        <f t="shared" si="26"/>
        <v>139</v>
      </c>
      <c r="F434" s="2">
        <f t="shared" si="27"/>
        <v>610</v>
      </c>
      <c r="G434" s="2">
        <f t="shared" si="28"/>
        <v>-471</v>
      </c>
      <c r="H434" s="2">
        <f t="shared" si="25"/>
        <v>221841</v>
      </c>
    </row>
    <row r="435" spans="1:8" x14ac:dyDescent="0.25">
      <c r="A435" s="7">
        <v>97.402597402597408</v>
      </c>
      <c r="B435">
        <v>93.84615384615384</v>
      </c>
      <c r="C435" s="7">
        <v>97.402597402597408</v>
      </c>
      <c r="D435">
        <v>93.84615384615384</v>
      </c>
      <c r="E435" s="2">
        <f t="shared" si="26"/>
        <v>513</v>
      </c>
      <c r="F435" s="2">
        <f t="shared" si="27"/>
        <v>849</v>
      </c>
      <c r="G435" s="2">
        <f t="shared" si="28"/>
        <v>-336</v>
      </c>
      <c r="H435" s="2">
        <f t="shared" si="25"/>
        <v>112896</v>
      </c>
    </row>
    <row r="436" spans="1:8" x14ac:dyDescent="0.25">
      <c r="A436" s="7">
        <v>95.161290322580655</v>
      </c>
      <c r="B436">
        <v>92.682926829268297</v>
      </c>
      <c r="C436" s="7">
        <v>95.161290322580655</v>
      </c>
      <c r="D436">
        <v>92.682926829268297</v>
      </c>
      <c r="E436" s="2">
        <f t="shared" si="26"/>
        <v>446</v>
      </c>
      <c r="F436" s="2">
        <f t="shared" si="27"/>
        <v>831.5</v>
      </c>
      <c r="G436" s="2">
        <f t="shared" si="28"/>
        <v>-385.5</v>
      </c>
      <c r="H436" s="2">
        <f t="shared" si="25"/>
        <v>148610.25</v>
      </c>
    </row>
    <row r="437" spans="1:8" x14ac:dyDescent="0.25">
      <c r="A437" s="7">
        <v>90.566037735849065</v>
      </c>
      <c r="B437">
        <v>89.743589743589752</v>
      </c>
      <c r="C437" s="7">
        <v>90.566037735849065</v>
      </c>
      <c r="D437">
        <v>89.743589743589752</v>
      </c>
      <c r="E437" s="2">
        <f t="shared" si="26"/>
        <v>341.5</v>
      </c>
      <c r="F437" s="2">
        <f t="shared" si="27"/>
        <v>797</v>
      </c>
      <c r="G437" s="2">
        <f t="shared" si="28"/>
        <v>-455.5</v>
      </c>
      <c r="H437" s="2">
        <f t="shared" si="25"/>
        <v>207480.25</v>
      </c>
    </row>
    <row r="438" spans="1:8" x14ac:dyDescent="0.25">
      <c r="A438" s="7">
        <v>100</v>
      </c>
      <c r="B438">
        <v>0</v>
      </c>
      <c r="C438" s="7">
        <v>100</v>
      </c>
      <c r="D438">
        <v>0</v>
      </c>
      <c r="E438" s="2">
        <f t="shared" si="26"/>
        <v>782</v>
      </c>
      <c r="F438" s="2">
        <f t="shared" si="27"/>
        <v>199.5</v>
      </c>
      <c r="G438" s="2">
        <f t="shared" si="28"/>
        <v>582.5</v>
      </c>
      <c r="H438" s="2">
        <f t="shared" si="25"/>
        <v>339306.25</v>
      </c>
    </row>
    <row r="439" spans="1:8" x14ac:dyDescent="0.25">
      <c r="A439" s="7">
        <v>96.590909090909093</v>
      </c>
      <c r="B439">
        <v>95.348837209302332</v>
      </c>
      <c r="C439" s="7">
        <v>96.590909090909093</v>
      </c>
      <c r="D439">
        <v>95.348837209302332</v>
      </c>
      <c r="E439" s="2">
        <f t="shared" si="26"/>
        <v>490.5</v>
      </c>
      <c r="F439" s="2">
        <f t="shared" si="27"/>
        <v>861</v>
      </c>
      <c r="G439" s="2">
        <f t="shared" si="28"/>
        <v>-370.5</v>
      </c>
      <c r="H439" s="2">
        <f t="shared" si="25"/>
        <v>137270.25</v>
      </c>
    </row>
    <row r="440" spans="1:8" x14ac:dyDescent="0.25">
      <c r="A440" s="7">
        <v>86.666666666666671</v>
      </c>
      <c r="B440">
        <v>88.888888888888886</v>
      </c>
      <c r="C440" s="7">
        <v>86.666666666666671</v>
      </c>
      <c r="D440">
        <v>88.888888888888886</v>
      </c>
      <c r="E440" s="2">
        <f t="shared" si="26"/>
        <v>258.5</v>
      </c>
      <c r="F440" s="2">
        <f t="shared" si="27"/>
        <v>777.5</v>
      </c>
      <c r="G440" s="2">
        <f t="shared" si="28"/>
        <v>-519</v>
      </c>
      <c r="H440" s="2">
        <f t="shared" si="25"/>
        <v>269361</v>
      </c>
    </row>
    <row r="441" spans="1:8" x14ac:dyDescent="0.25">
      <c r="A441" s="7">
        <v>91.666666666666657</v>
      </c>
      <c r="B441">
        <v>96.15384615384616</v>
      </c>
      <c r="C441" s="7">
        <v>91.666666666666657</v>
      </c>
      <c r="D441">
        <v>96.15384615384616</v>
      </c>
      <c r="E441" s="2">
        <f t="shared" si="26"/>
        <v>368.5</v>
      </c>
      <c r="F441" s="2">
        <f t="shared" si="27"/>
        <v>867.5</v>
      </c>
      <c r="G441" s="2">
        <f t="shared" si="28"/>
        <v>-499</v>
      </c>
      <c r="H441" s="2">
        <f t="shared" ref="H441:H504" si="29">IF(C441="","",G441^2)</f>
        <v>249001</v>
      </c>
    </row>
    <row r="442" spans="1:8" x14ac:dyDescent="0.25">
      <c r="A442" s="7">
        <v>80</v>
      </c>
      <c r="B442">
        <v>100</v>
      </c>
      <c r="C442" s="7">
        <v>80</v>
      </c>
      <c r="D442">
        <v>100</v>
      </c>
      <c r="E442" s="2">
        <f t="shared" si="26"/>
        <v>179.5</v>
      </c>
      <c r="F442" s="2">
        <f t="shared" si="27"/>
        <v>943.5</v>
      </c>
      <c r="G442" s="2">
        <f t="shared" si="28"/>
        <v>-764</v>
      </c>
      <c r="H442" s="2">
        <f t="shared" si="29"/>
        <v>583696</v>
      </c>
    </row>
    <row r="443" spans="1:8" x14ac:dyDescent="0.25">
      <c r="A443" s="7">
        <v>89.548693586698334</v>
      </c>
      <c r="B443">
        <v>61.890838206627684</v>
      </c>
      <c r="C443" s="7">
        <v>89.548693586698334</v>
      </c>
      <c r="D443">
        <v>61.890838206627684</v>
      </c>
      <c r="E443" s="2">
        <f t="shared" si="26"/>
        <v>316</v>
      </c>
      <c r="F443" s="2">
        <f t="shared" si="27"/>
        <v>485.5</v>
      </c>
      <c r="G443" s="2">
        <f t="shared" si="28"/>
        <v>-169.5</v>
      </c>
      <c r="H443" s="2">
        <f t="shared" si="29"/>
        <v>28730.25</v>
      </c>
    </row>
    <row r="444" spans="1:8" x14ac:dyDescent="0.25">
      <c r="A444" s="7">
        <v>100</v>
      </c>
      <c r="B444">
        <v>0</v>
      </c>
      <c r="C444" s="7">
        <v>100</v>
      </c>
      <c r="D444">
        <v>0</v>
      </c>
      <c r="E444" s="2">
        <f t="shared" si="26"/>
        <v>782</v>
      </c>
      <c r="F444" s="2">
        <f t="shared" si="27"/>
        <v>199.5</v>
      </c>
      <c r="G444" s="2">
        <f t="shared" si="28"/>
        <v>582.5</v>
      </c>
      <c r="H444" s="2">
        <f t="shared" si="29"/>
        <v>339306.25</v>
      </c>
    </row>
    <row r="445" spans="1:8" x14ac:dyDescent="0.25">
      <c r="A445" s="7">
        <v>96.470588235294116</v>
      </c>
      <c r="B445">
        <v>92.537313432835816</v>
      </c>
      <c r="C445" s="7">
        <v>96.470588235294116</v>
      </c>
      <c r="D445">
        <v>92.537313432835816</v>
      </c>
      <c r="E445" s="2">
        <f t="shared" si="26"/>
        <v>485.5</v>
      </c>
      <c r="F445" s="2">
        <f t="shared" si="27"/>
        <v>828.5</v>
      </c>
      <c r="G445" s="2">
        <f t="shared" si="28"/>
        <v>-343</v>
      </c>
      <c r="H445" s="2">
        <f t="shared" si="29"/>
        <v>117649</v>
      </c>
    </row>
    <row r="446" spans="1:8" x14ac:dyDescent="0.25">
      <c r="A446" s="7">
        <v>100</v>
      </c>
      <c r="B446">
        <v>0</v>
      </c>
      <c r="C446" s="7">
        <v>100</v>
      </c>
      <c r="D446">
        <v>0</v>
      </c>
      <c r="E446" s="2">
        <f t="shared" si="26"/>
        <v>782</v>
      </c>
      <c r="F446" s="2">
        <f t="shared" si="27"/>
        <v>199.5</v>
      </c>
      <c r="G446" s="2">
        <f t="shared" si="28"/>
        <v>582.5</v>
      </c>
      <c r="H446" s="2">
        <f t="shared" si="29"/>
        <v>339306.25</v>
      </c>
    </row>
    <row r="447" spans="1:8" x14ac:dyDescent="0.25">
      <c r="A447" s="7">
        <v>72.222222222222214</v>
      </c>
      <c r="B447">
        <v>0</v>
      </c>
      <c r="C447" s="7">
        <v>72.222222222222214</v>
      </c>
      <c r="D447">
        <v>0</v>
      </c>
      <c r="E447" s="2">
        <f t="shared" si="26"/>
        <v>121.5</v>
      </c>
      <c r="F447" s="2">
        <f t="shared" si="27"/>
        <v>199.5</v>
      </c>
      <c r="G447" s="2">
        <f t="shared" si="28"/>
        <v>-78</v>
      </c>
      <c r="H447" s="2">
        <f t="shared" si="29"/>
        <v>6084</v>
      </c>
    </row>
    <row r="448" spans="1:8" x14ac:dyDescent="0.25">
      <c r="A448" s="7">
        <v>83.333333333333343</v>
      </c>
      <c r="B448">
        <v>0</v>
      </c>
      <c r="C448" s="7">
        <v>83.333333333333343</v>
      </c>
      <c r="D448">
        <v>0</v>
      </c>
      <c r="E448" s="2">
        <f t="shared" si="26"/>
        <v>212.5</v>
      </c>
      <c r="F448" s="2">
        <f t="shared" si="27"/>
        <v>199.5</v>
      </c>
      <c r="G448" s="2">
        <f t="shared" si="28"/>
        <v>13</v>
      </c>
      <c r="H448" s="2">
        <f t="shared" si="29"/>
        <v>169</v>
      </c>
    </row>
    <row r="449" spans="1:8" x14ac:dyDescent="0.25">
      <c r="A449" s="7">
        <v>96.590909090909093</v>
      </c>
      <c r="B449">
        <v>54.13533834586466</v>
      </c>
      <c r="C449" s="7">
        <v>96.590909090909093</v>
      </c>
      <c r="D449">
        <v>54.13533834586466</v>
      </c>
      <c r="E449" s="2">
        <f t="shared" si="26"/>
        <v>490.5</v>
      </c>
      <c r="F449" s="2">
        <f t="shared" si="27"/>
        <v>447.5</v>
      </c>
      <c r="G449" s="2">
        <f t="shared" si="28"/>
        <v>43</v>
      </c>
      <c r="H449" s="2">
        <f t="shared" si="29"/>
        <v>1849</v>
      </c>
    </row>
    <row r="450" spans="1:8" x14ac:dyDescent="0.25">
      <c r="A450" s="7">
        <v>100</v>
      </c>
      <c r="B450">
        <v>0</v>
      </c>
      <c r="C450" s="7">
        <v>100</v>
      </c>
      <c r="D450">
        <v>0</v>
      </c>
      <c r="E450" s="2">
        <f t="shared" si="26"/>
        <v>782</v>
      </c>
      <c r="F450" s="2">
        <f t="shared" si="27"/>
        <v>199.5</v>
      </c>
      <c r="G450" s="2">
        <f t="shared" si="28"/>
        <v>582.5</v>
      </c>
      <c r="H450" s="2">
        <f t="shared" si="29"/>
        <v>339306.25</v>
      </c>
    </row>
    <row r="451" spans="1:8" x14ac:dyDescent="0.25">
      <c r="A451" s="7">
        <v>100</v>
      </c>
      <c r="B451">
        <v>0</v>
      </c>
      <c r="C451" s="7">
        <v>100</v>
      </c>
      <c r="D451">
        <v>0</v>
      </c>
      <c r="E451" s="2">
        <f t="shared" ref="E451:E514" si="30">IF(C451="","",_xlfn.RANK.AVG(C451,C$2:C$1003,1))</f>
        <v>782</v>
      </c>
      <c r="F451" s="2">
        <f t="shared" ref="F451:F514" si="31">IF(D451="","",_xlfn.RANK.AVG(D451,D$2:D$1003,1))</f>
        <v>199.5</v>
      </c>
      <c r="G451" s="2">
        <f t="shared" ref="G451:G514" si="32">IF(C451="","",E451-F451)</f>
        <v>582.5</v>
      </c>
      <c r="H451" s="2">
        <f t="shared" si="29"/>
        <v>339306.25</v>
      </c>
    </row>
    <row r="452" spans="1:8" x14ac:dyDescent="0.25">
      <c r="A452" s="7">
        <v>84.269662921348313</v>
      </c>
      <c r="B452">
        <v>89.189189189189193</v>
      </c>
      <c r="C452" s="7">
        <v>84.269662921348313</v>
      </c>
      <c r="D452">
        <v>89.189189189189193</v>
      </c>
      <c r="E452" s="2">
        <f t="shared" si="30"/>
        <v>229.5</v>
      </c>
      <c r="F452" s="2">
        <f t="shared" si="31"/>
        <v>788.5</v>
      </c>
      <c r="G452" s="2">
        <f t="shared" si="32"/>
        <v>-559</v>
      </c>
      <c r="H452" s="2">
        <f t="shared" si="29"/>
        <v>312481</v>
      </c>
    </row>
    <row r="453" spans="1:8" x14ac:dyDescent="0.25">
      <c r="A453" s="7">
        <v>0</v>
      </c>
      <c r="B453">
        <v>0</v>
      </c>
      <c r="C453" s="7">
        <v>0</v>
      </c>
      <c r="D453">
        <v>0</v>
      </c>
      <c r="E453" s="2">
        <f t="shared" si="30"/>
        <v>20</v>
      </c>
      <c r="F453" s="2">
        <f t="shared" si="31"/>
        <v>199.5</v>
      </c>
      <c r="G453" s="2">
        <f t="shared" si="32"/>
        <v>-179.5</v>
      </c>
      <c r="H453" s="2">
        <f t="shared" si="29"/>
        <v>32220.25</v>
      </c>
    </row>
    <row r="454" spans="1:8" x14ac:dyDescent="0.25">
      <c r="A454" s="7">
        <v>86.73986486486487</v>
      </c>
      <c r="B454">
        <v>69.769673704414586</v>
      </c>
      <c r="C454" s="7">
        <v>86.73986486486487</v>
      </c>
      <c r="D454">
        <v>69.769673704414586</v>
      </c>
      <c r="E454" s="2">
        <f t="shared" si="30"/>
        <v>262.5</v>
      </c>
      <c r="F454" s="2">
        <f t="shared" si="31"/>
        <v>550.5</v>
      </c>
      <c r="G454" s="2">
        <f t="shared" si="32"/>
        <v>-288</v>
      </c>
      <c r="H454" s="2">
        <f t="shared" si="29"/>
        <v>82944</v>
      </c>
    </row>
    <row r="455" spans="1:8" x14ac:dyDescent="0.25">
      <c r="A455" s="7">
        <v>100</v>
      </c>
      <c r="B455">
        <v>0</v>
      </c>
      <c r="C455" s="7">
        <v>100</v>
      </c>
      <c r="D455">
        <v>0</v>
      </c>
      <c r="E455" s="2">
        <f t="shared" si="30"/>
        <v>782</v>
      </c>
      <c r="F455" s="2">
        <f t="shared" si="31"/>
        <v>199.5</v>
      </c>
      <c r="G455" s="2">
        <f t="shared" si="32"/>
        <v>582.5</v>
      </c>
      <c r="H455" s="2">
        <f t="shared" si="29"/>
        <v>339306.25</v>
      </c>
    </row>
    <row r="456" spans="1:8" x14ac:dyDescent="0.25">
      <c r="A456" s="7">
        <v>100</v>
      </c>
      <c r="B456">
        <v>0</v>
      </c>
      <c r="C456" s="7">
        <v>100</v>
      </c>
      <c r="D456">
        <v>0</v>
      </c>
      <c r="E456" s="2">
        <f t="shared" si="30"/>
        <v>782</v>
      </c>
      <c r="F456" s="2">
        <f t="shared" si="31"/>
        <v>199.5</v>
      </c>
      <c r="G456" s="2">
        <f t="shared" si="32"/>
        <v>582.5</v>
      </c>
      <c r="H456" s="2">
        <f t="shared" si="29"/>
        <v>339306.25</v>
      </c>
    </row>
    <row r="457" spans="1:8" x14ac:dyDescent="0.25">
      <c r="A457" s="7">
        <v>100</v>
      </c>
      <c r="B457">
        <v>0</v>
      </c>
      <c r="C457" s="7">
        <v>100</v>
      </c>
      <c r="D457">
        <v>0</v>
      </c>
      <c r="E457" s="2">
        <f t="shared" si="30"/>
        <v>782</v>
      </c>
      <c r="F457" s="2">
        <f t="shared" si="31"/>
        <v>199.5</v>
      </c>
      <c r="G457" s="2">
        <f t="shared" si="32"/>
        <v>582.5</v>
      </c>
      <c r="H457" s="2">
        <f t="shared" si="29"/>
        <v>339306.25</v>
      </c>
    </row>
    <row r="458" spans="1:8" x14ac:dyDescent="0.25">
      <c r="A458" s="7">
        <v>95.454545454545453</v>
      </c>
      <c r="B458">
        <v>88.888888888888886</v>
      </c>
      <c r="C458" s="7">
        <v>95.454545454545453</v>
      </c>
      <c r="D458">
        <v>88.888888888888886</v>
      </c>
      <c r="E458" s="2">
        <f t="shared" si="30"/>
        <v>455.5</v>
      </c>
      <c r="F458" s="2">
        <f t="shared" si="31"/>
        <v>777.5</v>
      </c>
      <c r="G458" s="2">
        <f t="shared" si="32"/>
        <v>-322</v>
      </c>
      <c r="H458" s="2">
        <f t="shared" si="29"/>
        <v>103684</v>
      </c>
    </row>
    <row r="459" spans="1:8" x14ac:dyDescent="0.25">
      <c r="A459" s="7">
        <v>89.65517241379311</v>
      </c>
      <c r="B459">
        <v>71.875</v>
      </c>
      <c r="C459" s="7">
        <v>89.65517241379311</v>
      </c>
      <c r="D459">
        <v>71.875</v>
      </c>
      <c r="E459" s="2">
        <f t="shared" si="30"/>
        <v>319.5</v>
      </c>
      <c r="F459" s="2">
        <f t="shared" si="31"/>
        <v>574.5</v>
      </c>
      <c r="G459" s="2">
        <f t="shared" si="32"/>
        <v>-255</v>
      </c>
      <c r="H459" s="2">
        <f t="shared" si="29"/>
        <v>65025</v>
      </c>
    </row>
    <row r="460" spans="1:8" x14ac:dyDescent="0.25">
      <c r="A460" s="7">
        <v>41.666666666666671</v>
      </c>
      <c r="B460">
        <v>0</v>
      </c>
      <c r="C460" s="7">
        <v>41.666666666666671</v>
      </c>
      <c r="D460">
        <v>0</v>
      </c>
      <c r="E460" s="2">
        <f t="shared" si="30"/>
        <v>56.5</v>
      </c>
      <c r="F460" s="2">
        <f t="shared" si="31"/>
        <v>199.5</v>
      </c>
      <c r="G460" s="2">
        <f t="shared" si="32"/>
        <v>-143</v>
      </c>
      <c r="H460" s="2">
        <f t="shared" si="29"/>
        <v>20449</v>
      </c>
    </row>
    <row r="461" spans="1:8" x14ac:dyDescent="0.25">
      <c r="A461" s="7">
        <v>95.384615384615387</v>
      </c>
      <c r="B461">
        <v>97.916666666666657</v>
      </c>
      <c r="C461" s="7">
        <v>95.384615384615387</v>
      </c>
      <c r="D461">
        <v>97.916666666666657</v>
      </c>
      <c r="E461" s="2">
        <f t="shared" si="30"/>
        <v>452</v>
      </c>
      <c r="F461" s="2">
        <f t="shared" si="31"/>
        <v>881</v>
      </c>
      <c r="G461" s="2">
        <f t="shared" si="32"/>
        <v>-429</v>
      </c>
      <c r="H461" s="2">
        <f t="shared" si="29"/>
        <v>184041</v>
      </c>
    </row>
    <row r="462" spans="1:8" x14ac:dyDescent="0.25">
      <c r="A462" s="7">
        <v>70</v>
      </c>
      <c r="B462">
        <v>62.857142857142854</v>
      </c>
      <c r="C462" s="7">
        <v>70</v>
      </c>
      <c r="D462">
        <v>62.857142857142854</v>
      </c>
      <c r="E462" s="2">
        <f t="shared" si="30"/>
        <v>114.5</v>
      </c>
      <c r="F462" s="2">
        <f t="shared" si="31"/>
        <v>496</v>
      </c>
      <c r="G462" s="2">
        <f t="shared" si="32"/>
        <v>-381.5</v>
      </c>
      <c r="H462" s="2">
        <f t="shared" si="29"/>
        <v>145542.25</v>
      </c>
    </row>
    <row r="463" spans="1:8" x14ac:dyDescent="0.25">
      <c r="A463" s="7">
        <v>100</v>
      </c>
      <c r="B463">
        <v>0</v>
      </c>
      <c r="C463" s="7">
        <v>100</v>
      </c>
      <c r="D463">
        <v>0</v>
      </c>
      <c r="E463" s="2">
        <f t="shared" si="30"/>
        <v>782</v>
      </c>
      <c r="F463" s="2">
        <f t="shared" si="31"/>
        <v>199.5</v>
      </c>
      <c r="G463" s="2">
        <f t="shared" si="32"/>
        <v>582.5</v>
      </c>
      <c r="H463" s="2">
        <f t="shared" si="29"/>
        <v>339306.25</v>
      </c>
    </row>
    <row r="464" spans="1:8" x14ac:dyDescent="0.25">
      <c r="A464" s="7">
        <v>100</v>
      </c>
      <c r="B464">
        <v>0</v>
      </c>
      <c r="C464" s="7">
        <v>100</v>
      </c>
      <c r="D464">
        <v>0</v>
      </c>
      <c r="E464" s="2">
        <f t="shared" si="30"/>
        <v>782</v>
      </c>
      <c r="F464" s="2">
        <f t="shared" si="31"/>
        <v>199.5</v>
      </c>
      <c r="G464" s="2">
        <f t="shared" si="32"/>
        <v>582.5</v>
      </c>
      <c r="H464" s="2">
        <f t="shared" si="29"/>
        <v>339306.25</v>
      </c>
    </row>
    <row r="465" spans="1:8" x14ac:dyDescent="0.25">
      <c r="A465" s="7">
        <v>92.857142857142861</v>
      </c>
      <c r="B465">
        <v>72.972972972972968</v>
      </c>
      <c r="C465" s="7">
        <v>92.857142857142861</v>
      </c>
      <c r="D465">
        <v>72.972972972972968</v>
      </c>
      <c r="E465" s="2">
        <f t="shared" si="30"/>
        <v>400.5</v>
      </c>
      <c r="F465" s="2">
        <f t="shared" si="31"/>
        <v>586.5</v>
      </c>
      <c r="G465" s="2">
        <f t="shared" si="32"/>
        <v>-186</v>
      </c>
      <c r="H465" s="2">
        <f t="shared" si="29"/>
        <v>34596</v>
      </c>
    </row>
    <row r="466" spans="1:8" x14ac:dyDescent="0.25">
      <c r="A466" s="7">
        <v>94.814814814814824</v>
      </c>
      <c r="B466">
        <v>86.36363636363636</v>
      </c>
      <c r="C466" s="7">
        <v>94.814814814814824</v>
      </c>
      <c r="D466">
        <v>86.36363636363636</v>
      </c>
      <c r="E466" s="2">
        <f t="shared" si="30"/>
        <v>435</v>
      </c>
      <c r="F466" s="2">
        <f t="shared" si="31"/>
        <v>732.5</v>
      </c>
      <c r="G466" s="2">
        <f t="shared" si="32"/>
        <v>-297.5</v>
      </c>
      <c r="H466" s="2">
        <f t="shared" si="29"/>
        <v>88506.25</v>
      </c>
    </row>
    <row r="467" spans="1:8" x14ac:dyDescent="0.25">
      <c r="A467" s="7">
        <v>100</v>
      </c>
      <c r="B467">
        <v>0</v>
      </c>
      <c r="C467" s="7">
        <v>100</v>
      </c>
      <c r="D467">
        <v>0</v>
      </c>
      <c r="E467" s="2">
        <f t="shared" si="30"/>
        <v>782</v>
      </c>
      <c r="F467" s="2">
        <f t="shared" si="31"/>
        <v>199.5</v>
      </c>
      <c r="G467" s="2">
        <f t="shared" si="32"/>
        <v>582.5</v>
      </c>
      <c r="H467" s="2">
        <f t="shared" si="29"/>
        <v>339306.25</v>
      </c>
    </row>
    <row r="468" spans="1:8" x14ac:dyDescent="0.25">
      <c r="A468" s="7">
        <v>96.932515337423311</v>
      </c>
      <c r="B468">
        <v>84.276729559748432</v>
      </c>
      <c r="C468" s="7">
        <v>96.932515337423311</v>
      </c>
      <c r="D468">
        <v>84.276729559748432</v>
      </c>
      <c r="E468" s="2">
        <f t="shared" si="30"/>
        <v>501</v>
      </c>
      <c r="F468" s="2">
        <f t="shared" si="31"/>
        <v>699</v>
      </c>
      <c r="G468" s="2">
        <f t="shared" si="32"/>
        <v>-198</v>
      </c>
      <c r="H468" s="2">
        <f t="shared" si="29"/>
        <v>39204</v>
      </c>
    </row>
    <row r="469" spans="1:8" x14ac:dyDescent="0.25">
      <c r="A469" s="7">
        <v>100</v>
      </c>
      <c r="B469">
        <v>0</v>
      </c>
      <c r="C469" s="7">
        <v>100</v>
      </c>
      <c r="D469">
        <v>0</v>
      </c>
      <c r="E469" s="2">
        <f t="shared" si="30"/>
        <v>782</v>
      </c>
      <c r="F469" s="2">
        <f t="shared" si="31"/>
        <v>199.5</v>
      </c>
      <c r="G469" s="2">
        <f t="shared" si="32"/>
        <v>582.5</v>
      </c>
      <c r="H469" s="2">
        <f t="shared" si="29"/>
        <v>339306.25</v>
      </c>
    </row>
    <row r="470" spans="1:8" x14ac:dyDescent="0.25">
      <c r="A470" s="7">
        <v>100</v>
      </c>
      <c r="B470">
        <v>85.628742514970057</v>
      </c>
      <c r="C470" s="7">
        <v>100</v>
      </c>
      <c r="D470">
        <v>85.628742514970057</v>
      </c>
      <c r="E470" s="2">
        <f t="shared" si="30"/>
        <v>782</v>
      </c>
      <c r="F470" s="2">
        <f t="shared" si="31"/>
        <v>715</v>
      </c>
      <c r="G470" s="2">
        <f t="shared" si="32"/>
        <v>67</v>
      </c>
      <c r="H470" s="2">
        <f t="shared" si="29"/>
        <v>4489</v>
      </c>
    </row>
    <row r="471" spans="1:8" x14ac:dyDescent="0.25">
      <c r="A471" s="7">
        <v>95.275590551181097</v>
      </c>
      <c r="B471">
        <v>65.217391304347828</v>
      </c>
      <c r="C471" s="7">
        <v>95.275590551181097</v>
      </c>
      <c r="D471">
        <v>65.217391304347828</v>
      </c>
      <c r="E471" s="2">
        <f t="shared" si="30"/>
        <v>449</v>
      </c>
      <c r="F471" s="2">
        <f t="shared" si="31"/>
        <v>508</v>
      </c>
      <c r="G471" s="2">
        <f t="shared" si="32"/>
        <v>-59</v>
      </c>
      <c r="H471" s="2">
        <f t="shared" si="29"/>
        <v>3481</v>
      </c>
    </row>
    <row r="472" spans="1:8" x14ac:dyDescent="0.25">
      <c r="A472" s="7">
        <v>66.666666666666657</v>
      </c>
      <c r="B472">
        <v>0</v>
      </c>
      <c r="C472" s="7">
        <v>66.666666666666657</v>
      </c>
      <c r="D472">
        <v>0</v>
      </c>
      <c r="E472" s="2">
        <f t="shared" si="30"/>
        <v>106.5</v>
      </c>
      <c r="F472" s="2">
        <f t="shared" si="31"/>
        <v>199.5</v>
      </c>
      <c r="G472" s="2">
        <f t="shared" si="32"/>
        <v>-93</v>
      </c>
      <c r="H472" s="2">
        <f t="shared" si="29"/>
        <v>8649</v>
      </c>
    </row>
    <row r="473" spans="1:8" x14ac:dyDescent="0.25">
      <c r="A473" s="7">
        <v>95.555555555555557</v>
      </c>
      <c r="B473">
        <v>89.473684210526315</v>
      </c>
      <c r="C473" s="7">
        <v>95.555555555555557</v>
      </c>
      <c r="D473">
        <v>89.473684210526315</v>
      </c>
      <c r="E473" s="2">
        <f t="shared" si="30"/>
        <v>459.5</v>
      </c>
      <c r="F473" s="2">
        <f t="shared" si="31"/>
        <v>791.5</v>
      </c>
      <c r="G473" s="2">
        <f t="shared" si="32"/>
        <v>-332</v>
      </c>
      <c r="H473" s="2">
        <f t="shared" si="29"/>
        <v>110224</v>
      </c>
    </row>
    <row r="474" spans="1:8" x14ac:dyDescent="0.25">
      <c r="A474" s="7">
        <v>78</v>
      </c>
      <c r="B474">
        <v>71.698113207547166</v>
      </c>
      <c r="C474" s="7">
        <v>78</v>
      </c>
      <c r="D474">
        <v>71.698113207547166</v>
      </c>
      <c r="E474" s="2">
        <f t="shared" si="30"/>
        <v>164</v>
      </c>
      <c r="F474" s="2">
        <f t="shared" si="31"/>
        <v>571</v>
      </c>
      <c r="G474" s="2">
        <f t="shared" si="32"/>
        <v>-407</v>
      </c>
      <c r="H474" s="2">
        <f t="shared" si="29"/>
        <v>165649</v>
      </c>
    </row>
    <row r="475" spans="1:8" x14ac:dyDescent="0.25">
      <c r="A475" s="7">
        <v>89.887640449438194</v>
      </c>
      <c r="B475">
        <v>67.114093959731548</v>
      </c>
      <c r="C475" s="7">
        <v>89.887640449438194</v>
      </c>
      <c r="D475">
        <v>67.114093959731548</v>
      </c>
      <c r="E475" s="2">
        <f t="shared" si="30"/>
        <v>324</v>
      </c>
      <c r="F475" s="2">
        <f t="shared" si="31"/>
        <v>532</v>
      </c>
      <c r="G475" s="2">
        <f t="shared" si="32"/>
        <v>-208</v>
      </c>
      <c r="H475" s="2">
        <f t="shared" si="29"/>
        <v>43264</v>
      </c>
    </row>
    <row r="476" spans="1:8" x14ac:dyDescent="0.25">
      <c r="A476" s="7">
        <v>100</v>
      </c>
      <c r="B476">
        <v>0</v>
      </c>
      <c r="C476" s="7">
        <v>100</v>
      </c>
      <c r="D476">
        <v>0</v>
      </c>
      <c r="E476" s="2">
        <f t="shared" si="30"/>
        <v>782</v>
      </c>
      <c r="F476" s="2">
        <f t="shared" si="31"/>
        <v>199.5</v>
      </c>
      <c r="G476" s="2">
        <f t="shared" si="32"/>
        <v>582.5</v>
      </c>
      <c r="H476" s="2">
        <f t="shared" si="29"/>
        <v>339306.25</v>
      </c>
    </row>
    <row r="477" spans="1:8" x14ac:dyDescent="0.25">
      <c r="A477" s="7">
        <v>98.181818181818187</v>
      </c>
      <c r="B477">
        <v>90.909090909090907</v>
      </c>
      <c r="C477" s="7">
        <v>98.181818181818187</v>
      </c>
      <c r="D477">
        <v>90.909090909090907</v>
      </c>
      <c r="E477" s="2">
        <f t="shared" si="30"/>
        <v>539</v>
      </c>
      <c r="F477" s="2">
        <f t="shared" si="31"/>
        <v>814</v>
      </c>
      <c r="G477" s="2">
        <f t="shared" si="32"/>
        <v>-275</v>
      </c>
      <c r="H477" s="2">
        <f t="shared" si="29"/>
        <v>75625</v>
      </c>
    </row>
    <row r="478" spans="1:8" x14ac:dyDescent="0.25">
      <c r="A478" s="7">
        <v>95.081967213114751</v>
      </c>
      <c r="B478">
        <v>88.333333333333329</v>
      </c>
      <c r="C478" s="7">
        <v>95.081967213114751</v>
      </c>
      <c r="D478">
        <v>88.333333333333329</v>
      </c>
      <c r="E478" s="2">
        <f t="shared" si="30"/>
        <v>441.5</v>
      </c>
      <c r="F478" s="2">
        <f t="shared" si="31"/>
        <v>769</v>
      </c>
      <c r="G478" s="2">
        <f t="shared" si="32"/>
        <v>-327.5</v>
      </c>
      <c r="H478" s="2">
        <f t="shared" si="29"/>
        <v>107256.25</v>
      </c>
    </row>
    <row r="479" spans="1:8" x14ac:dyDescent="0.25">
      <c r="A479" s="7">
        <v>100</v>
      </c>
      <c r="B479">
        <v>91.803278688524586</v>
      </c>
      <c r="C479" s="7">
        <v>100</v>
      </c>
      <c r="D479">
        <v>91.803278688524586</v>
      </c>
      <c r="E479" s="2">
        <f t="shared" si="30"/>
        <v>782</v>
      </c>
      <c r="F479" s="2">
        <f t="shared" si="31"/>
        <v>821</v>
      </c>
      <c r="G479" s="2">
        <f t="shared" si="32"/>
        <v>-39</v>
      </c>
      <c r="H479" s="2">
        <f t="shared" si="29"/>
        <v>1521</v>
      </c>
    </row>
    <row r="480" spans="1:8" x14ac:dyDescent="0.25">
      <c r="A480" s="7">
        <v>82.758620689655174</v>
      </c>
      <c r="B480">
        <v>70.454545454545453</v>
      </c>
      <c r="C480" s="7">
        <v>82.758620689655174</v>
      </c>
      <c r="D480">
        <v>70.454545454545453</v>
      </c>
      <c r="E480" s="2">
        <f t="shared" si="30"/>
        <v>201</v>
      </c>
      <c r="F480" s="2">
        <f t="shared" si="31"/>
        <v>555</v>
      </c>
      <c r="G480" s="2">
        <f t="shared" si="32"/>
        <v>-354</v>
      </c>
      <c r="H480" s="2">
        <f t="shared" si="29"/>
        <v>125316</v>
      </c>
    </row>
    <row r="481" spans="1:8" x14ac:dyDescent="0.25">
      <c r="A481" s="7">
        <v>73.015873015873012</v>
      </c>
      <c r="B481">
        <v>64.15094339622641</v>
      </c>
      <c r="C481" s="7">
        <v>73.015873015873012</v>
      </c>
      <c r="D481">
        <v>64.15094339622641</v>
      </c>
      <c r="E481" s="2">
        <f t="shared" si="30"/>
        <v>124</v>
      </c>
      <c r="F481" s="2">
        <f t="shared" si="31"/>
        <v>502</v>
      </c>
      <c r="G481" s="2">
        <f t="shared" si="32"/>
        <v>-378</v>
      </c>
      <c r="H481" s="2">
        <f t="shared" si="29"/>
        <v>142884</v>
      </c>
    </row>
    <row r="482" spans="1:8" x14ac:dyDescent="0.25">
      <c r="A482" s="7">
        <v>100</v>
      </c>
      <c r="B482">
        <v>86.666666666666671</v>
      </c>
      <c r="C482" s="7">
        <v>100</v>
      </c>
      <c r="D482">
        <v>86.666666666666671</v>
      </c>
      <c r="E482" s="2">
        <f t="shared" si="30"/>
        <v>782</v>
      </c>
      <c r="F482" s="2">
        <f t="shared" si="31"/>
        <v>738</v>
      </c>
      <c r="G482" s="2">
        <f t="shared" si="32"/>
        <v>44</v>
      </c>
      <c r="H482" s="2">
        <f t="shared" si="29"/>
        <v>1936</v>
      </c>
    </row>
    <row r="483" spans="1:8" x14ac:dyDescent="0.25">
      <c r="A483" s="7">
        <v>97.61904761904762</v>
      </c>
      <c r="B483">
        <v>67.10526315789474</v>
      </c>
      <c r="C483" s="7">
        <v>97.61904761904762</v>
      </c>
      <c r="D483">
        <v>67.10526315789474</v>
      </c>
      <c r="E483" s="2">
        <f t="shared" si="30"/>
        <v>521</v>
      </c>
      <c r="F483" s="2">
        <f t="shared" si="31"/>
        <v>531</v>
      </c>
      <c r="G483" s="2">
        <f t="shared" si="32"/>
        <v>-10</v>
      </c>
      <c r="H483" s="2">
        <f t="shared" si="29"/>
        <v>100</v>
      </c>
    </row>
    <row r="484" spans="1:8" x14ac:dyDescent="0.25">
      <c r="A484" s="7">
        <v>86.111111111111114</v>
      </c>
      <c r="B484">
        <v>91.111111111111114</v>
      </c>
      <c r="C484" s="7">
        <v>86.111111111111114</v>
      </c>
      <c r="D484">
        <v>91.111111111111114</v>
      </c>
      <c r="E484" s="2">
        <f t="shared" si="30"/>
        <v>252</v>
      </c>
      <c r="F484" s="2">
        <f t="shared" si="31"/>
        <v>816</v>
      </c>
      <c r="G484" s="2">
        <f t="shared" si="32"/>
        <v>-564</v>
      </c>
      <c r="H484" s="2">
        <f t="shared" si="29"/>
        <v>318096</v>
      </c>
    </row>
    <row r="485" spans="1:8" x14ac:dyDescent="0.25">
      <c r="A485" s="7">
        <v>93.103448275862064</v>
      </c>
      <c r="B485">
        <v>59.090909090909093</v>
      </c>
      <c r="C485" s="7">
        <v>93.103448275862064</v>
      </c>
      <c r="D485">
        <v>59.090909090909093</v>
      </c>
      <c r="E485" s="2">
        <f t="shared" si="30"/>
        <v>406.5</v>
      </c>
      <c r="F485" s="2">
        <f t="shared" si="31"/>
        <v>470</v>
      </c>
      <c r="G485" s="2">
        <f t="shared" si="32"/>
        <v>-63.5</v>
      </c>
      <c r="H485" s="2">
        <f t="shared" si="29"/>
        <v>4032.25</v>
      </c>
    </row>
    <row r="486" spans="1:8" x14ac:dyDescent="0.25">
      <c r="A486" s="7">
        <v>93.84615384615384</v>
      </c>
      <c r="B486">
        <v>80.357142857142861</v>
      </c>
      <c r="C486" s="7">
        <v>93.84615384615384</v>
      </c>
      <c r="D486">
        <v>80.357142857142861</v>
      </c>
      <c r="E486" s="2">
        <f t="shared" si="30"/>
        <v>416</v>
      </c>
      <c r="F486" s="2">
        <f t="shared" si="31"/>
        <v>653</v>
      </c>
      <c r="G486" s="2">
        <f t="shared" si="32"/>
        <v>-237</v>
      </c>
      <c r="H486" s="2">
        <f t="shared" si="29"/>
        <v>56169</v>
      </c>
    </row>
    <row r="487" spans="1:8" x14ac:dyDescent="0.25">
      <c r="A487" s="7">
        <v>97.368421052631575</v>
      </c>
      <c r="B487">
        <v>93.939393939393938</v>
      </c>
      <c r="C487" s="7">
        <v>97.368421052631575</v>
      </c>
      <c r="D487">
        <v>93.939393939393938</v>
      </c>
      <c r="E487" s="2">
        <f t="shared" si="30"/>
        <v>511</v>
      </c>
      <c r="F487" s="2">
        <f t="shared" si="31"/>
        <v>850</v>
      </c>
      <c r="G487" s="2">
        <f t="shared" si="32"/>
        <v>-339</v>
      </c>
      <c r="H487" s="2">
        <f t="shared" si="29"/>
        <v>114921</v>
      </c>
    </row>
    <row r="488" spans="1:8" x14ac:dyDescent="0.25">
      <c r="A488" s="7">
        <v>100</v>
      </c>
      <c r="B488">
        <v>88.235294117647058</v>
      </c>
      <c r="C488" s="7">
        <v>100</v>
      </c>
      <c r="D488">
        <v>88.235294117647058</v>
      </c>
      <c r="E488" s="2">
        <f t="shared" si="30"/>
        <v>782</v>
      </c>
      <c r="F488" s="2">
        <f t="shared" si="31"/>
        <v>765.5</v>
      </c>
      <c r="G488" s="2">
        <f t="shared" si="32"/>
        <v>16.5</v>
      </c>
      <c r="H488" s="2">
        <f t="shared" si="29"/>
        <v>272.25</v>
      </c>
    </row>
    <row r="489" spans="1:8" x14ac:dyDescent="0.25">
      <c r="A489" s="7">
        <v>85.714285714285708</v>
      </c>
      <c r="B489">
        <v>87.5</v>
      </c>
      <c r="C489" s="7">
        <v>85.714285714285708</v>
      </c>
      <c r="D489">
        <v>87.5</v>
      </c>
      <c r="E489" s="2">
        <f t="shared" si="30"/>
        <v>243</v>
      </c>
      <c r="F489" s="2">
        <f t="shared" si="31"/>
        <v>753</v>
      </c>
      <c r="G489" s="2">
        <f t="shared" si="32"/>
        <v>-510</v>
      </c>
      <c r="H489" s="2">
        <f t="shared" si="29"/>
        <v>260100</v>
      </c>
    </row>
    <row r="490" spans="1:8" x14ac:dyDescent="0.25">
      <c r="A490" s="7">
        <v>100</v>
      </c>
      <c r="B490">
        <v>91.891891891891902</v>
      </c>
      <c r="C490" s="7">
        <v>100</v>
      </c>
      <c r="D490">
        <v>91.891891891891902</v>
      </c>
      <c r="E490" s="2">
        <f t="shared" si="30"/>
        <v>782</v>
      </c>
      <c r="F490" s="2">
        <f t="shared" si="31"/>
        <v>823</v>
      </c>
      <c r="G490" s="2">
        <f t="shared" si="32"/>
        <v>-41</v>
      </c>
      <c r="H490" s="2">
        <f t="shared" si="29"/>
        <v>1681</v>
      </c>
    </row>
    <row r="491" spans="1:8" x14ac:dyDescent="0.25">
      <c r="A491" s="7">
        <v>89.473684210526315</v>
      </c>
      <c r="B491">
        <v>95.454545454545453</v>
      </c>
      <c r="C491" s="7">
        <v>89.473684210526315</v>
      </c>
      <c r="D491">
        <v>95.454545454545453</v>
      </c>
      <c r="E491" s="2">
        <f t="shared" si="30"/>
        <v>313.5</v>
      </c>
      <c r="F491" s="2">
        <f t="shared" si="31"/>
        <v>863</v>
      </c>
      <c r="G491" s="2">
        <f t="shared" si="32"/>
        <v>-549.5</v>
      </c>
      <c r="H491" s="2">
        <f t="shared" si="29"/>
        <v>301950.25</v>
      </c>
    </row>
    <row r="492" spans="1:8" x14ac:dyDescent="0.25">
      <c r="A492" s="7">
        <v>90</v>
      </c>
      <c r="B492">
        <v>87.5</v>
      </c>
      <c r="C492" s="7">
        <v>90</v>
      </c>
      <c r="D492">
        <v>87.5</v>
      </c>
      <c r="E492" s="2">
        <f t="shared" si="30"/>
        <v>330</v>
      </c>
      <c r="F492" s="2">
        <f t="shared" si="31"/>
        <v>753</v>
      </c>
      <c r="G492" s="2">
        <f t="shared" si="32"/>
        <v>-423</v>
      </c>
      <c r="H492" s="2">
        <f t="shared" si="29"/>
        <v>178929</v>
      </c>
    </row>
    <row r="493" spans="1:8" x14ac:dyDescent="0.25">
      <c r="A493" s="7">
        <v>87.878787878787875</v>
      </c>
      <c r="B493">
        <v>97.5</v>
      </c>
      <c r="C493" s="7">
        <v>87.878787878787875</v>
      </c>
      <c r="D493">
        <v>97.5</v>
      </c>
      <c r="E493" s="2">
        <f t="shared" si="30"/>
        <v>285</v>
      </c>
      <c r="F493" s="2">
        <f t="shared" si="31"/>
        <v>875</v>
      </c>
      <c r="G493" s="2">
        <f t="shared" si="32"/>
        <v>-590</v>
      </c>
      <c r="H493" s="2">
        <f t="shared" si="29"/>
        <v>348100</v>
      </c>
    </row>
    <row r="494" spans="1:8" x14ac:dyDescent="0.25">
      <c r="A494" s="7">
        <v>83.333333333333343</v>
      </c>
      <c r="B494">
        <v>85.714285714285708</v>
      </c>
      <c r="C494" s="7">
        <v>83.333333333333343</v>
      </c>
      <c r="D494">
        <v>85.714285714285708</v>
      </c>
      <c r="E494" s="2">
        <f t="shared" si="30"/>
        <v>212.5</v>
      </c>
      <c r="F494" s="2">
        <f t="shared" si="31"/>
        <v>720</v>
      </c>
      <c r="G494" s="2">
        <f t="shared" si="32"/>
        <v>-507.5</v>
      </c>
      <c r="H494" s="2">
        <f t="shared" si="29"/>
        <v>257556.25</v>
      </c>
    </row>
    <row r="495" spans="1:8" x14ac:dyDescent="0.25">
      <c r="A495" s="7">
        <v>78.666666666666657</v>
      </c>
      <c r="B495">
        <v>66.981132075471692</v>
      </c>
      <c r="C495" s="7">
        <v>78.666666666666657</v>
      </c>
      <c r="D495">
        <v>66.981132075471692</v>
      </c>
      <c r="E495" s="2">
        <f t="shared" si="30"/>
        <v>167</v>
      </c>
      <c r="F495" s="2">
        <f t="shared" si="31"/>
        <v>530</v>
      </c>
      <c r="G495" s="2">
        <f t="shared" si="32"/>
        <v>-363</v>
      </c>
      <c r="H495" s="2">
        <f t="shared" si="29"/>
        <v>131769</v>
      </c>
    </row>
    <row r="496" spans="1:8" x14ac:dyDescent="0.25">
      <c r="A496" s="7">
        <v>81.818181818181827</v>
      </c>
      <c r="B496">
        <v>100</v>
      </c>
      <c r="C496" s="7">
        <v>81.818181818181827</v>
      </c>
      <c r="D496">
        <v>100</v>
      </c>
      <c r="E496" s="2">
        <f t="shared" si="30"/>
        <v>191.5</v>
      </c>
      <c r="F496" s="2">
        <f t="shared" si="31"/>
        <v>943.5</v>
      </c>
      <c r="G496" s="2">
        <f t="shared" si="32"/>
        <v>-752</v>
      </c>
      <c r="H496" s="2">
        <f t="shared" si="29"/>
        <v>565504</v>
      </c>
    </row>
    <row r="497" spans="1:8" x14ac:dyDescent="0.25">
      <c r="A497" s="7">
        <v>82.758620689655174</v>
      </c>
      <c r="B497">
        <v>66.666666666666657</v>
      </c>
      <c r="C497" s="7">
        <v>82.758620689655174</v>
      </c>
      <c r="D497">
        <v>66.666666666666657</v>
      </c>
      <c r="E497" s="2">
        <f t="shared" si="30"/>
        <v>201</v>
      </c>
      <c r="F497" s="2">
        <f t="shared" si="31"/>
        <v>519.5</v>
      </c>
      <c r="G497" s="2">
        <f t="shared" si="32"/>
        <v>-318.5</v>
      </c>
      <c r="H497" s="2">
        <f t="shared" si="29"/>
        <v>101442.25</v>
      </c>
    </row>
    <row r="498" spans="1:8" x14ac:dyDescent="0.25">
      <c r="A498" s="7">
        <v>96.666666666666671</v>
      </c>
      <c r="B498">
        <v>84.782608695652172</v>
      </c>
      <c r="C498" s="7">
        <v>96.666666666666671</v>
      </c>
      <c r="D498">
        <v>84.782608695652172</v>
      </c>
      <c r="E498" s="2">
        <f t="shared" si="30"/>
        <v>493</v>
      </c>
      <c r="F498" s="2">
        <f t="shared" si="31"/>
        <v>711</v>
      </c>
      <c r="G498" s="2">
        <f t="shared" si="32"/>
        <v>-218</v>
      </c>
      <c r="H498" s="2">
        <f t="shared" si="29"/>
        <v>47524</v>
      </c>
    </row>
    <row r="499" spans="1:8" x14ac:dyDescent="0.25">
      <c r="A499" s="7">
        <v>95.833333333333343</v>
      </c>
      <c r="B499">
        <v>89.473684210526315</v>
      </c>
      <c r="C499" s="7">
        <v>95.833333333333343</v>
      </c>
      <c r="D499">
        <v>89.473684210526315</v>
      </c>
      <c r="E499" s="2">
        <f t="shared" si="30"/>
        <v>467</v>
      </c>
      <c r="F499" s="2">
        <f t="shared" si="31"/>
        <v>791.5</v>
      </c>
      <c r="G499" s="2">
        <f t="shared" si="32"/>
        <v>-324.5</v>
      </c>
      <c r="H499" s="2">
        <f t="shared" si="29"/>
        <v>105300.25</v>
      </c>
    </row>
    <row r="500" spans="1:8" x14ac:dyDescent="0.25">
      <c r="A500" s="7">
        <v>92.523364485981304</v>
      </c>
      <c r="B500">
        <v>72.794117647058826</v>
      </c>
      <c r="C500" s="7">
        <v>92.523364485981304</v>
      </c>
      <c r="D500">
        <v>72.794117647058826</v>
      </c>
      <c r="E500" s="2">
        <f t="shared" si="30"/>
        <v>390</v>
      </c>
      <c r="F500" s="2">
        <f t="shared" si="31"/>
        <v>584</v>
      </c>
      <c r="G500" s="2">
        <f t="shared" si="32"/>
        <v>-194</v>
      </c>
      <c r="H500" s="2">
        <f t="shared" si="29"/>
        <v>37636</v>
      </c>
    </row>
    <row r="501" spans="1:8" x14ac:dyDescent="0.25">
      <c r="A501" s="7">
        <v>88.63636363636364</v>
      </c>
      <c r="B501">
        <v>87.5</v>
      </c>
      <c r="C501" s="7">
        <v>88.63636363636364</v>
      </c>
      <c r="D501">
        <v>87.5</v>
      </c>
      <c r="E501" s="2">
        <f t="shared" si="30"/>
        <v>291</v>
      </c>
      <c r="F501" s="2">
        <f t="shared" si="31"/>
        <v>753</v>
      </c>
      <c r="G501" s="2">
        <f t="shared" si="32"/>
        <v>-462</v>
      </c>
      <c r="H501" s="2">
        <f t="shared" si="29"/>
        <v>213444</v>
      </c>
    </row>
    <row r="502" spans="1:8" x14ac:dyDescent="0.25">
      <c r="A502" s="7">
        <v>96.666666666666671</v>
      </c>
      <c r="B502">
        <v>85.333333333333343</v>
      </c>
      <c r="C502" s="7">
        <v>96.666666666666671</v>
      </c>
      <c r="D502">
        <v>85.333333333333343</v>
      </c>
      <c r="E502" s="2">
        <f t="shared" si="30"/>
        <v>493</v>
      </c>
      <c r="F502" s="2">
        <f t="shared" si="31"/>
        <v>713</v>
      </c>
      <c r="G502" s="2">
        <f t="shared" si="32"/>
        <v>-220</v>
      </c>
      <c r="H502" s="2">
        <f t="shared" si="29"/>
        <v>48400</v>
      </c>
    </row>
    <row r="503" spans="1:8" x14ac:dyDescent="0.25">
      <c r="A503" s="7">
        <v>86.15384615384616</v>
      </c>
      <c r="B503">
        <v>57.8125</v>
      </c>
      <c r="C503" s="7">
        <v>86.15384615384616</v>
      </c>
      <c r="D503">
        <v>57.8125</v>
      </c>
      <c r="E503" s="2">
        <f t="shared" si="30"/>
        <v>253</v>
      </c>
      <c r="F503" s="2">
        <f t="shared" si="31"/>
        <v>462</v>
      </c>
      <c r="G503" s="2">
        <f t="shared" si="32"/>
        <v>-209</v>
      </c>
      <c r="H503" s="2">
        <f t="shared" si="29"/>
        <v>43681</v>
      </c>
    </row>
    <row r="504" spans="1:8" x14ac:dyDescent="0.25">
      <c r="A504" s="7">
        <v>78.787878787878782</v>
      </c>
      <c r="B504">
        <v>77.272727272727266</v>
      </c>
      <c r="C504" s="7">
        <v>78.787878787878782</v>
      </c>
      <c r="D504">
        <v>77.272727272727266</v>
      </c>
      <c r="E504" s="2">
        <f t="shared" si="30"/>
        <v>170</v>
      </c>
      <c r="F504" s="2">
        <f t="shared" si="31"/>
        <v>626</v>
      </c>
      <c r="G504" s="2">
        <f t="shared" si="32"/>
        <v>-456</v>
      </c>
      <c r="H504" s="2">
        <f t="shared" si="29"/>
        <v>207936</v>
      </c>
    </row>
    <row r="505" spans="1:8" x14ac:dyDescent="0.25">
      <c r="A505" s="7">
        <v>82.758620689655174</v>
      </c>
      <c r="B505">
        <v>59.574468085106382</v>
      </c>
      <c r="C505" s="7">
        <v>82.758620689655174</v>
      </c>
      <c r="D505">
        <v>59.574468085106382</v>
      </c>
      <c r="E505" s="2">
        <f t="shared" si="30"/>
        <v>201</v>
      </c>
      <c r="F505" s="2">
        <f t="shared" si="31"/>
        <v>471</v>
      </c>
      <c r="G505" s="2">
        <f t="shared" si="32"/>
        <v>-270</v>
      </c>
      <c r="H505" s="2">
        <f t="shared" ref="H505:H568" si="33">IF(C505="","",G505^2)</f>
        <v>72900</v>
      </c>
    </row>
    <row r="506" spans="1:8" x14ac:dyDescent="0.25">
      <c r="A506" s="7">
        <v>91.17647058823529</v>
      </c>
      <c r="B506">
        <v>73.4375</v>
      </c>
      <c r="C506" s="7">
        <v>91.17647058823529</v>
      </c>
      <c r="D506">
        <v>73.4375</v>
      </c>
      <c r="E506" s="2">
        <f t="shared" si="30"/>
        <v>354.5</v>
      </c>
      <c r="F506" s="2">
        <f t="shared" si="31"/>
        <v>591</v>
      </c>
      <c r="G506" s="2">
        <f t="shared" si="32"/>
        <v>-236.5</v>
      </c>
      <c r="H506" s="2">
        <f t="shared" si="33"/>
        <v>55932.25</v>
      </c>
    </row>
    <row r="507" spans="1:8" x14ac:dyDescent="0.25">
      <c r="A507" s="7">
        <v>83.050847457627114</v>
      </c>
      <c r="B507">
        <v>86.274509803921575</v>
      </c>
      <c r="C507" s="7">
        <v>83.050847457627114</v>
      </c>
      <c r="D507">
        <v>86.274509803921575</v>
      </c>
      <c r="E507" s="2">
        <f t="shared" si="30"/>
        <v>205</v>
      </c>
      <c r="F507" s="2">
        <f t="shared" si="31"/>
        <v>731</v>
      </c>
      <c r="G507" s="2">
        <f t="shared" si="32"/>
        <v>-526</v>
      </c>
      <c r="H507" s="2">
        <f t="shared" si="33"/>
        <v>276676</v>
      </c>
    </row>
    <row r="508" spans="1:8" x14ac:dyDescent="0.25">
      <c r="A508" s="7">
        <v>89.705882352941174</v>
      </c>
      <c r="B508">
        <v>86.36363636363636</v>
      </c>
      <c r="C508" s="7">
        <v>89.705882352941174</v>
      </c>
      <c r="D508">
        <v>86.36363636363636</v>
      </c>
      <c r="E508" s="2">
        <f t="shared" si="30"/>
        <v>322.5</v>
      </c>
      <c r="F508" s="2">
        <f t="shared" si="31"/>
        <v>732.5</v>
      </c>
      <c r="G508" s="2">
        <f t="shared" si="32"/>
        <v>-410</v>
      </c>
      <c r="H508" s="2">
        <f t="shared" si="33"/>
        <v>168100</v>
      </c>
    </row>
    <row r="509" spans="1:8" x14ac:dyDescent="0.25">
      <c r="A509" s="7">
        <v>98.305084745762713</v>
      </c>
      <c r="B509">
        <v>94</v>
      </c>
      <c r="C509" s="7">
        <v>98.305084745762713</v>
      </c>
      <c r="D509">
        <v>94</v>
      </c>
      <c r="E509" s="2">
        <f t="shared" si="30"/>
        <v>541</v>
      </c>
      <c r="F509" s="2">
        <f t="shared" si="31"/>
        <v>851</v>
      </c>
      <c r="G509" s="2">
        <f t="shared" si="32"/>
        <v>-310</v>
      </c>
      <c r="H509" s="2">
        <f t="shared" si="33"/>
        <v>96100</v>
      </c>
    </row>
    <row r="510" spans="1:8" x14ac:dyDescent="0.25">
      <c r="A510" s="7">
        <v>94.117647058823522</v>
      </c>
      <c r="B510">
        <v>83.333333333333343</v>
      </c>
      <c r="C510" s="7">
        <v>94.117647058823522</v>
      </c>
      <c r="D510">
        <v>83.333333333333343</v>
      </c>
      <c r="E510" s="2">
        <f t="shared" si="30"/>
        <v>419.5</v>
      </c>
      <c r="F510" s="2">
        <f t="shared" si="31"/>
        <v>687</v>
      </c>
      <c r="G510" s="2">
        <f t="shared" si="32"/>
        <v>-267.5</v>
      </c>
      <c r="H510" s="2">
        <f t="shared" si="33"/>
        <v>71556.25</v>
      </c>
    </row>
    <row r="511" spans="1:8" x14ac:dyDescent="0.25">
      <c r="A511" s="7">
        <v>88.888888888888886</v>
      </c>
      <c r="B511">
        <v>82.35294117647058</v>
      </c>
      <c r="C511" s="7">
        <v>88.888888888888886</v>
      </c>
      <c r="D511">
        <v>82.35294117647058</v>
      </c>
      <c r="E511" s="2">
        <f t="shared" si="30"/>
        <v>298.5</v>
      </c>
      <c r="F511" s="2">
        <f t="shared" si="31"/>
        <v>674</v>
      </c>
      <c r="G511" s="2">
        <f t="shared" si="32"/>
        <v>-375.5</v>
      </c>
      <c r="H511" s="2">
        <f t="shared" si="33"/>
        <v>141000.25</v>
      </c>
    </row>
    <row r="512" spans="1:8" x14ac:dyDescent="0.25">
      <c r="A512" s="7">
        <v>88.888888888888886</v>
      </c>
      <c r="B512">
        <v>82.35294117647058</v>
      </c>
      <c r="C512" s="7">
        <v>88.888888888888886</v>
      </c>
      <c r="D512">
        <v>82.35294117647058</v>
      </c>
      <c r="E512" s="2">
        <f t="shared" si="30"/>
        <v>298.5</v>
      </c>
      <c r="F512" s="2">
        <f t="shared" si="31"/>
        <v>674</v>
      </c>
      <c r="G512" s="2">
        <f t="shared" si="32"/>
        <v>-375.5</v>
      </c>
      <c r="H512" s="2">
        <f t="shared" si="33"/>
        <v>141000.25</v>
      </c>
    </row>
    <row r="513" spans="1:8" x14ac:dyDescent="0.25">
      <c r="A513" s="7">
        <v>100</v>
      </c>
      <c r="B513">
        <v>100</v>
      </c>
      <c r="C513" s="7">
        <v>100</v>
      </c>
      <c r="D513">
        <v>100</v>
      </c>
      <c r="E513" s="2">
        <f t="shared" si="30"/>
        <v>782</v>
      </c>
      <c r="F513" s="2">
        <f t="shared" si="31"/>
        <v>943.5</v>
      </c>
      <c r="G513" s="2">
        <f t="shared" si="32"/>
        <v>-161.5</v>
      </c>
      <c r="H513" s="2">
        <f t="shared" si="33"/>
        <v>26082.25</v>
      </c>
    </row>
    <row r="514" spans="1:8" x14ac:dyDescent="0.25">
      <c r="A514" s="7">
        <v>100</v>
      </c>
      <c r="B514">
        <v>0</v>
      </c>
      <c r="C514" s="7">
        <v>100</v>
      </c>
      <c r="D514">
        <v>0</v>
      </c>
      <c r="E514" s="2">
        <f t="shared" si="30"/>
        <v>782</v>
      </c>
      <c r="F514" s="2">
        <f t="shared" si="31"/>
        <v>199.5</v>
      </c>
      <c r="G514" s="2">
        <f t="shared" si="32"/>
        <v>582.5</v>
      </c>
      <c r="H514" s="2">
        <f t="shared" si="33"/>
        <v>339306.25</v>
      </c>
    </row>
    <row r="515" spans="1:8" x14ac:dyDescent="0.25">
      <c r="A515" s="7">
        <v>100</v>
      </c>
      <c r="B515">
        <v>0</v>
      </c>
      <c r="C515" s="7">
        <v>100</v>
      </c>
      <c r="D515">
        <v>0</v>
      </c>
      <c r="E515" s="2">
        <f t="shared" ref="E515:E578" si="34">IF(C515="","",_xlfn.RANK.AVG(C515,C$2:C$1003,1))</f>
        <v>782</v>
      </c>
      <c r="F515" s="2">
        <f t="shared" ref="F515:F578" si="35">IF(D515="","",_xlfn.RANK.AVG(D515,D$2:D$1003,1))</f>
        <v>199.5</v>
      </c>
      <c r="G515" s="2">
        <f t="shared" ref="G515:G578" si="36">IF(C515="","",E515-F515)</f>
        <v>582.5</v>
      </c>
      <c r="H515" s="2">
        <f t="shared" si="33"/>
        <v>339306.25</v>
      </c>
    </row>
    <row r="516" spans="1:8" x14ac:dyDescent="0.25">
      <c r="A516" s="7">
        <v>95.180722891566262</v>
      </c>
      <c r="B516">
        <v>50.259067357512954</v>
      </c>
      <c r="C516" s="7">
        <v>95.180722891566262</v>
      </c>
      <c r="D516">
        <v>50.259067357512954</v>
      </c>
      <c r="E516" s="2">
        <f t="shared" si="34"/>
        <v>447</v>
      </c>
      <c r="F516" s="2">
        <f t="shared" si="35"/>
        <v>437.5</v>
      </c>
      <c r="G516" s="2">
        <f t="shared" si="36"/>
        <v>9.5</v>
      </c>
      <c r="H516" s="2">
        <f t="shared" si="33"/>
        <v>90.25</v>
      </c>
    </row>
    <row r="517" spans="1:8" x14ac:dyDescent="0.25">
      <c r="A517" s="7">
        <v>100</v>
      </c>
      <c r="B517">
        <v>90</v>
      </c>
      <c r="C517" s="7">
        <v>100</v>
      </c>
      <c r="D517">
        <v>90</v>
      </c>
      <c r="E517" s="2">
        <f t="shared" si="34"/>
        <v>782</v>
      </c>
      <c r="F517" s="2">
        <f t="shared" si="35"/>
        <v>800</v>
      </c>
      <c r="G517" s="2">
        <f t="shared" si="36"/>
        <v>-18</v>
      </c>
      <c r="H517" s="2">
        <f t="shared" si="33"/>
        <v>324</v>
      </c>
    </row>
    <row r="518" spans="1:8" x14ac:dyDescent="0.25">
      <c r="A518" s="7">
        <v>100</v>
      </c>
      <c r="B518">
        <v>0</v>
      </c>
      <c r="C518" s="7">
        <v>100</v>
      </c>
      <c r="D518">
        <v>0</v>
      </c>
      <c r="E518" s="2">
        <f t="shared" si="34"/>
        <v>782</v>
      </c>
      <c r="F518" s="2">
        <f t="shared" si="35"/>
        <v>199.5</v>
      </c>
      <c r="G518" s="2">
        <f t="shared" si="36"/>
        <v>582.5</v>
      </c>
      <c r="H518" s="2">
        <f t="shared" si="33"/>
        <v>339306.25</v>
      </c>
    </row>
    <row r="519" spans="1:8" x14ac:dyDescent="0.25">
      <c r="A519" s="7">
        <v>80</v>
      </c>
      <c r="B519">
        <v>78</v>
      </c>
      <c r="C519" s="7">
        <v>80</v>
      </c>
      <c r="D519">
        <v>78</v>
      </c>
      <c r="E519" s="2">
        <f t="shared" si="34"/>
        <v>179.5</v>
      </c>
      <c r="F519" s="2">
        <f t="shared" si="35"/>
        <v>634</v>
      </c>
      <c r="G519" s="2">
        <f t="shared" si="36"/>
        <v>-454.5</v>
      </c>
      <c r="H519" s="2">
        <f t="shared" si="33"/>
        <v>206570.25</v>
      </c>
    </row>
    <row r="520" spans="1:8" x14ac:dyDescent="0.25">
      <c r="A520" s="7">
        <v>91.666666666666657</v>
      </c>
      <c r="B520">
        <v>86.956521739130437</v>
      </c>
      <c r="C520" s="7">
        <v>91.666666666666657</v>
      </c>
      <c r="D520">
        <v>86.956521739130437</v>
      </c>
      <c r="E520" s="2">
        <f t="shared" si="34"/>
        <v>368.5</v>
      </c>
      <c r="F520" s="2">
        <f t="shared" si="35"/>
        <v>741.5</v>
      </c>
      <c r="G520" s="2">
        <f t="shared" si="36"/>
        <v>-373</v>
      </c>
      <c r="H520" s="2">
        <f t="shared" si="33"/>
        <v>139129</v>
      </c>
    </row>
    <row r="521" spans="1:8" x14ac:dyDescent="0.25">
      <c r="A521" s="7">
        <v>96.19047619047619</v>
      </c>
      <c r="B521">
        <v>86.885245901639337</v>
      </c>
      <c r="C521" s="7">
        <v>96.19047619047619</v>
      </c>
      <c r="D521">
        <v>86.885245901639337</v>
      </c>
      <c r="E521" s="2">
        <f t="shared" si="34"/>
        <v>480</v>
      </c>
      <c r="F521" s="2">
        <f t="shared" si="35"/>
        <v>740</v>
      </c>
      <c r="G521" s="2">
        <f t="shared" si="36"/>
        <v>-260</v>
      </c>
      <c r="H521" s="2">
        <f t="shared" si="33"/>
        <v>67600</v>
      </c>
    </row>
    <row r="522" spans="1:8" x14ac:dyDescent="0.25">
      <c r="A522" s="7">
        <v>97.701149425287355</v>
      </c>
      <c r="B522">
        <v>90.825688073394488</v>
      </c>
      <c r="C522" s="7">
        <v>97.701149425287355</v>
      </c>
      <c r="D522">
        <v>90.825688073394488</v>
      </c>
      <c r="E522" s="2">
        <f t="shared" si="34"/>
        <v>527</v>
      </c>
      <c r="F522" s="2">
        <f t="shared" si="35"/>
        <v>812</v>
      </c>
      <c r="G522" s="2">
        <f t="shared" si="36"/>
        <v>-285</v>
      </c>
      <c r="H522" s="2">
        <f t="shared" si="33"/>
        <v>81225</v>
      </c>
    </row>
    <row r="523" spans="1:8" x14ac:dyDescent="0.25">
      <c r="A523" s="7">
        <v>100</v>
      </c>
      <c r="B523">
        <v>0</v>
      </c>
      <c r="C523" s="7">
        <v>100</v>
      </c>
      <c r="D523">
        <v>0</v>
      </c>
      <c r="E523" s="2">
        <f t="shared" si="34"/>
        <v>782</v>
      </c>
      <c r="F523" s="2">
        <f t="shared" si="35"/>
        <v>199.5</v>
      </c>
      <c r="G523" s="2">
        <f t="shared" si="36"/>
        <v>582.5</v>
      </c>
      <c r="H523" s="2">
        <f t="shared" si="33"/>
        <v>339306.25</v>
      </c>
    </row>
    <row r="524" spans="1:8" x14ac:dyDescent="0.25">
      <c r="A524" s="7">
        <v>91.17647058823529</v>
      </c>
      <c r="B524">
        <v>91.17647058823529</v>
      </c>
      <c r="C524" s="7">
        <v>91.17647058823529</v>
      </c>
      <c r="D524">
        <v>91.17647058823529</v>
      </c>
      <c r="E524" s="2">
        <f t="shared" si="34"/>
        <v>354.5</v>
      </c>
      <c r="F524" s="2">
        <f t="shared" si="35"/>
        <v>818</v>
      </c>
      <c r="G524" s="2">
        <f t="shared" si="36"/>
        <v>-463.5</v>
      </c>
      <c r="H524" s="2">
        <f t="shared" si="33"/>
        <v>214832.25</v>
      </c>
    </row>
    <row r="525" spans="1:8" x14ac:dyDescent="0.25">
      <c r="A525" s="7">
        <v>96.491228070175438</v>
      </c>
      <c r="B525">
        <v>84.444444444444443</v>
      </c>
      <c r="C525" s="7">
        <v>96.491228070175438</v>
      </c>
      <c r="D525">
        <v>84.444444444444443</v>
      </c>
      <c r="E525" s="2">
        <f t="shared" si="34"/>
        <v>487</v>
      </c>
      <c r="F525" s="2">
        <f t="shared" si="35"/>
        <v>704</v>
      </c>
      <c r="G525" s="2">
        <f t="shared" si="36"/>
        <v>-217</v>
      </c>
      <c r="H525" s="2">
        <f t="shared" si="33"/>
        <v>47089</v>
      </c>
    </row>
    <row r="526" spans="1:8" x14ac:dyDescent="0.25">
      <c r="A526" s="7">
        <v>70.39473684210526</v>
      </c>
      <c r="B526">
        <v>63.777777777777779</v>
      </c>
      <c r="C526" s="7">
        <v>70.39473684210526</v>
      </c>
      <c r="D526">
        <v>63.777777777777779</v>
      </c>
      <c r="E526" s="2">
        <f t="shared" si="34"/>
        <v>116</v>
      </c>
      <c r="F526" s="2">
        <f t="shared" si="35"/>
        <v>501</v>
      </c>
      <c r="G526" s="2">
        <f t="shared" si="36"/>
        <v>-385</v>
      </c>
      <c r="H526" s="2">
        <f t="shared" si="33"/>
        <v>148225</v>
      </c>
    </row>
    <row r="527" spans="1:8" x14ac:dyDescent="0.25">
      <c r="A527" s="7">
        <v>95.145631067961162</v>
      </c>
      <c r="B527">
        <v>78.740157480314963</v>
      </c>
      <c r="C527" s="7">
        <v>95.145631067961162</v>
      </c>
      <c r="D527">
        <v>78.740157480314963</v>
      </c>
      <c r="E527" s="2">
        <f t="shared" si="34"/>
        <v>445</v>
      </c>
      <c r="F527" s="2">
        <f t="shared" si="35"/>
        <v>638</v>
      </c>
      <c r="G527" s="2">
        <f t="shared" si="36"/>
        <v>-193</v>
      </c>
      <c r="H527" s="2">
        <f t="shared" si="33"/>
        <v>37249</v>
      </c>
    </row>
    <row r="528" spans="1:8" x14ac:dyDescent="0.25">
      <c r="A528" s="7">
        <v>81.081081081081081</v>
      </c>
      <c r="B528">
        <v>58.82352941176471</v>
      </c>
      <c r="C528" s="7">
        <v>81.081081081081081</v>
      </c>
      <c r="D528">
        <v>58.82352941176471</v>
      </c>
      <c r="E528" s="2">
        <f t="shared" si="34"/>
        <v>186</v>
      </c>
      <c r="F528" s="2">
        <f t="shared" si="35"/>
        <v>467.5</v>
      </c>
      <c r="G528" s="2">
        <f t="shared" si="36"/>
        <v>-281.5</v>
      </c>
      <c r="H528" s="2">
        <f t="shared" si="33"/>
        <v>79242.25</v>
      </c>
    </row>
    <row r="529" spans="1:8" x14ac:dyDescent="0.25">
      <c r="A529" s="7">
        <v>98.958333333333343</v>
      </c>
      <c r="B529">
        <v>0</v>
      </c>
      <c r="C529" s="7">
        <v>98.958333333333343</v>
      </c>
      <c r="D529">
        <v>0</v>
      </c>
      <c r="E529" s="2">
        <f t="shared" si="34"/>
        <v>556</v>
      </c>
      <c r="F529" s="2">
        <f t="shared" si="35"/>
        <v>199.5</v>
      </c>
      <c r="G529" s="2">
        <f t="shared" si="36"/>
        <v>356.5</v>
      </c>
      <c r="H529" s="2">
        <f t="shared" si="33"/>
        <v>127092.25</v>
      </c>
    </row>
    <row r="530" spans="1:8" x14ac:dyDescent="0.25">
      <c r="A530" s="7">
        <v>90.909090909090907</v>
      </c>
      <c r="B530">
        <v>0</v>
      </c>
      <c r="C530" s="7">
        <v>90.909090909090907</v>
      </c>
      <c r="D530">
        <v>0</v>
      </c>
      <c r="E530" s="2">
        <f t="shared" si="34"/>
        <v>349</v>
      </c>
      <c r="F530" s="2">
        <f t="shared" si="35"/>
        <v>199.5</v>
      </c>
      <c r="G530" s="2">
        <f t="shared" si="36"/>
        <v>149.5</v>
      </c>
      <c r="H530" s="2">
        <f t="shared" si="33"/>
        <v>22350.25</v>
      </c>
    </row>
    <row r="531" spans="1:8" x14ac:dyDescent="0.25">
      <c r="A531" s="7">
        <v>92.857142857142861</v>
      </c>
      <c r="B531">
        <v>87.5</v>
      </c>
      <c r="C531" s="7">
        <v>92.857142857142861</v>
      </c>
      <c r="D531">
        <v>87.5</v>
      </c>
      <c r="E531" s="2">
        <f t="shared" si="34"/>
        <v>400.5</v>
      </c>
      <c r="F531" s="2">
        <f t="shared" si="35"/>
        <v>753</v>
      </c>
      <c r="G531" s="2">
        <f t="shared" si="36"/>
        <v>-352.5</v>
      </c>
      <c r="H531" s="2">
        <f t="shared" si="33"/>
        <v>124256.25</v>
      </c>
    </row>
    <row r="532" spans="1:8" x14ac:dyDescent="0.25">
      <c r="A532" s="7">
        <v>100</v>
      </c>
      <c r="B532">
        <v>0</v>
      </c>
      <c r="C532" s="7">
        <v>100</v>
      </c>
      <c r="D532">
        <v>0</v>
      </c>
      <c r="E532" s="2">
        <f t="shared" si="34"/>
        <v>782</v>
      </c>
      <c r="F532" s="2">
        <f t="shared" si="35"/>
        <v>199.5</v>
      </c>
      <c r="G532" s="2">
        <f t="shared" si="36"/>
        <v>582.5</v>
      </c>
      <c r="H532" s="2">
        <f t="shared" si="33"/>
        <v>339306.25</v>
      </c>
    </row>
    <row r="533" spans="1:8" x14ac:dyDescent="0.25">
      <c r="A533" s="7">
        <v>100</v>
      </c>
      <c r="B533">
        <v>0</v>
      </c>
      <c r="C533" s="7">
        <v>100</v>
      </c>
      <c r="D533">
        <v>0</v>
      </c>
      <c r="E533" s="2">
        <f t="shared" si="34"/>
        <v>782</v>
      </c>
      <c r="F533" s="2">
        <f t="shared" si="35"/>
        <v>199.5</v>
      </c>
      <c r="G533" s="2">
        <f t="shared" si="36"/>
        <v>582.5</v>
      </c>
      <c r="H533" s="2">
        <f t="shared" si="33"/>
        <v>339306.25</v>
      </c>
    </row>
    <row r="534" spans="1:8" x14ac:dyDescent="0.25">
      <c r="A534" s="7">
        <v>100</v>
      </c>
      <c r="B534">
        <v>100</v>
      </c>
      <c r="C534" s="7">
        <v>100</v>
      </c>
      <c r="D534">
        <v>100</v>
      </c>
      <c r="E534" s="2">
        <f t="shared" si="34"/>
        <v>782</v>
      </c>
      <c r="F534" s="2">
        <f t="shared" si="35"/>
        <v>943.5</v>
      </c>
      <c r="G534" s="2">
        <f t="shared" si="36"/>
        <v>-161.5</v>
      </c>
      <c r="H534" s="2">
        <f t="shared" si="33"/>
        <v>26082.25</v>
      </c>
    </row>
    <row r="535" spans="1:8" x14ac:dyDescent="0.25">
      <c r="A535" s="7">
        <v>35</v>
      </c>
      <c r="B535">
        <v>0</v>
      </c>
      <c r="C535" s="7">
        <v>35</v>
      </c>
      <c r="D535">
        <v>0</v>
      </c>
      <c r="E535" s="2">
        <f t="shared" si="34"/>
        <v>51</v>
      </c>
      <c r="F535" s="2">
        <f t="shared" si="35"/>
        <v>199.5</v>
      </c>
      <c r="G535" s="2">
        <f t="shared" si="36"/>
        <v>-148.5</v>
      </c>
      <c r="H535" s="2">
        <f t="shared" si="33"/>
        <v>22052.25</v>
      </c>
    </row>
    <row r="536" spans="1:8" x14ac:dyDescent="0.25">
      <c r="A536" s="7">
        <v>98.936170212765958</v>
      </c>
      <c r="B536">
        <v>0</v>
      </c>
      <c r="C536" s="7">
        <v>98.936170212765958</v>
      </c>
      <c r="D536">
        <v>0</v>
      </c>
      <c r="E536" s="2">
        <f t="shared" si="34"/>
        <v>553.5</v>
      </c>
      <c r="F536" s="2">
        <f t="shared" si="35"/>
        <v>199.5</v>
      </c>
      <c r="G536" s="2">
        <f t="shared" si="36"/>
        <v>354</v>
      </c>
      <c r="H536" s="2">
        <f t="shared" si="33"/>
        <v>125316</v>
      </c>
    </row>
    <row r="537" spans="1:8" x14ac:dyDescent="0.25">
      <c r="A537" s="7">
        <v>88.888888888888886</v>
      </c>
      <c r="B537">
        <v>66.666666666666657</v>
      </c>
      <c r="C537" s="7">
        <v>88.888888888888886</v>
      </c>
      <c r="D537">
        <v>66.666666666666657</v>
      </c>
      <c r="E537" s="2">
        <f t="shared" si="34"/>
        <v>298.5</v>
      </c>
      <c r="F537" s="2">
        <f t="shared" si="35"/>
        <v>519.5</v>
      </c>
      <c r="G537" s="2">
        <f t="shared" si="36"/>
        <v>-221</v>
      </c>
      <c r="H537" s="2">
        <f t="shared" si="33"/>
        <v>48841</v>
      </c>
    </row>
    <row r="538" spans="1:8" x14ac:dyDescent="0.25">
      <c r="A538" s="7">
        <v>35</v>
      </c>
      <c r="B538">
        <v>0</v>
      </c>
      <c r="C538" s="7">
        <v>35</v>
      </c>
      <c r="D538">
        <v>0</v>
      </c>
      <c r="E538" s="2">
        <f t="shared" si="34"/>
        <v>51</v>
      </c>
      <c r="F538" s="2">
        <f t="shared" si="35"/>
        <v>199.5</v>
      </c>
      <c r="G538" s="2">
        <f t="shared" si="36"/>
        <v>-148.5</v>
      </c>
      <c r="H538" s="2">
        <f t="shared" si="33"/>
        <v>22052.25</v>
      </c>
    </row>
    <row r="539" spans="1:8" x14ac:dyDescent="0.25">
      <c r="A539" s="7">
        <v>100</v>
      </c>
      <c r="B539">
        <v>58.426966292134829</v>
      </c>
      <c r="C539" s="7">
        <v>100</v>
      </c>
      <c r="D539">
        <v>58.426966292134829</v>
      </c>
      <c r="E539" s="2">
        <f t="shared" si="34"/>
        <v>782</v>
      </c>
      <c r="F539" s="2">
        <f t="shared" si="35"/>
        <v>464.5</v>
      </c>
      <c r="G539" s="2">
        <f t="shared" si="36"/>
        <v>317.5</v>
      </c>
      <c r="H539" s="2">
        <f t="shared" si="33"/>
        <v>100806.25</v>
      </c>
    </row>
    <row r="540" spans="1:8" x14ac:dyDescent="0.25">
      <c r="A540" s="7">
        <v>100</v>
      </c>
      <c r="B540">
        <v>0</v>
      </c>
      <c r="C540" s="7">
        <v>100</v>
      </c>
      <c r="D540">
        <v>0</v>
      </c>
      <c r="E540" s="2">
        <f t="shared" si="34"/>
        <v>782</v>
      </c>
      <c r="F540" s="2">
        <f t="shared" si="35"/>
        <v>199.5</v>
      </c>
      <c r="G540" s="2">
        <f t="shared" si="36"/>
        <v>582.5</v>
      </c>
      <c r="H540" s="2">
        <f t="shared" si="33"/>
        <v>339306.25</v>
      </c>
    </row>
    <row r="541" spans="1:8" x14ac:dyDescent="0.25">
      <c r="A541" s="7">
        <v>100</v>
      </c>
      <c r="B541">
        <v>100</v>
      </c>
      <c r="C541" s="7">
        <v>100</v>
      </c>
      <c r="D541">
        <v>100</v>
      </c>
      <c r="E541" s="2">
        <f t="shared" si="34"/>
        <v>782</v>
      </c>
      <c r="F541" s="2">
        <f t="shared" si="35"/>
        <v>943.5</v>
      </c>
      <c r="G541" s="2">
        <f t="shared" si="36"/>
        <v>-161.5</v>
      </c>
      <c r="H541" s="2">
        <f t="shared" si="33"/>
        <v>26082.25</v>
      </c>
    </row>
    <row r="542" spans="1:8" x14ac:dyDescent="0.25">
      <c r="A542" s="7">
        <v>100</v>
      </c>
      <c r="B542">
        <v>0</v>
      </c>
      <c r="C542" s="7">
        <v>100</v>
      </c>
      <c r="D542">
        <v>0</v>
      </c>
      <c r="E542" s="2">
        <f t="shared" si="34"/>
        <v>782</v>
      </c>
      <c r="F542" s="2">
        <f t="shared" si="35"/>
        <v>199.5</v>
      </c>
      <c r="G542" s="2">
        <f t="shared" si="36"/>
        <v>582.5</v>
      </c>
      <c r="H542" s="2">
        <f t="shared" si="33"/>
        <v>339306.25</v>
      </c>
    </row>
    <row r="543" spans="1:8" x14ac:dyDescent="0.25">
      <c r="A543" s="7">
        <v>100</v>
      </c>
      <c r="B543">
        <v>60.638297872340431</v>
      </c>
      <c r="C543" s="7">
        <v>100</v>
      </c>
      <c r="D543">
        <v>60.638297872340431</v>
      </c>
      <c r="E543" s="2">
        <f t="shared" si="34"/>
        <v>782</v>
      </c>
      <c r="F543" s="2">
        <f t="shared" si="35"/>
        <v>480</v>
      </c>
      <c r="G543" s="2">
        <f t="shared" si="36"/>
        <v>302</v>
      </c>
      <c r="H543" s="2">
        <f t="shared" si="33"/>
        <v>91204</v>
      </c>
    </row>
    <row r="544" spans="1:8" x14ac:dyDescent="0.25">
      <c r="A544" s="7">
        <v>75</v>
      </c>
      <c r="B544">
        <v>33.333333333333329</v>
      </c>
      <c r="C544" s="7">
        <v>75</v>
      </c>
      <c r="D544">
        <v>33.333333333333329</v>
      </c>
      <c r="E544" s="2">
        <f t="shared" si="34"/>
        <v>139</v>
      </c>
      <c r="F544" s="2">
        <f t="shared" si="35"/>
        <v>408</v>
      </c>
      <c r="G544" s="2">
        <f t="shared" si="36"/>
        <v>-269</v>
      </c>
      <c r="H544" s="2">
        <f t="shared" si="33"/>
        <v>72361</v>
      </c>
    </row>
    <row r="545" spans="1:8" x14ac:dyDescent="0.25">
      <c r="A545" s="7">
        <v>100</v>
      </c>
      <c r="B545">
        <v>71.428571428571431</v>
      </c>
      <c r="C545" s="7">
        <v>100</v>
      </c>
      <c r="D545">
        <v>71.428571428571431</v>
      </c>
      <c r="E545" s="2">
        <f t="shared" si="34"/>
        <v>782</v>
      </c>
      <c r="F545" s="2">
        <f t="shared" si="35"/>
        <v>568</v>
      </c>
      <c r="G545" s="2">
        <f t="shared" si="36"/>
        <v>214</v>
      </c>
      <c r="H545" s="2">
        <f t="shared" si="33"/>
        <v>45796</v>
      </c>
    </row>
    <row r="546" spans="1:8" x14ac:dyDescent="0.25">
      <c r="A546" s="7">
        <v>100</v>
      </c>
      <c r="B546">
        <v>0</v>
      </c>
      <c r="C546" s="7">
        <v>100</v>
      </c>
      <c r="D546">
        <v>0</v>
      </c>
      <c r="E546" s="2">
        <f t="shared" si="34"/>
        <v>782</v>
      </c>
      <c r="F546" s="2">
        <f t="shared" si="35"/>
        <v>199.5</v>
      </c>
      <c r="G546" s="2">
        <f t="shared" si="36"/>
        <v>582.5</v>
      </c>
      <c r="H546" s="2">
        <f t="shared" si="33"/>
        <v>339306.25</v>
      </c>
    </row>
    <row r="547" spans="1:8" x14ac:dyDescent="0.25">
      <c r="A547" s="7">
        <v>100</v>
      </c>
      <c r="B547">
        <v>0</v>
      </c>
      <c r="C547" s="7">
        <v>100</v>
      </c>
      <c r="D547">
        <v>0</v>
      </c>
      <c r="E547" s="2">
        <f t="shared" si="34"/>
        <v>782</v>
      </c>
      <c r="F547" s="2">
        <f t="shared" si="35"/>
        <v>199.5</v>
      </c>
      <c r="G547" s="2">
        <f t="shared" si="36"/>
        <v>582.5</v>
      </c>
      <c r="H547" s="2">
        <f t="shared" si="33"/>
        <v>339306.25</v>
      </c>
    </row>
    <row r="548" spans="1:8" x14ac:dyDescent="0.25">
      <c r="A548" s="7">
        <v>100</v>
      </c>
      <c r="B548">
        <v>0</v>
      </c>
      <c r="C548" s="7">
        <v>100</v>
      </c>
      <c r="D548">
        <v>0</v>
      </c>
      <c r="E548" s="2">
        <f t="shared" si="34"/>
        <v>782</v>
      </c>
      <c r="F548" s="2">
        <f t="shared" si="35"/>
        <v>199.5</v>
      </c>
      <c r="G548" s="2">
        <f t="shared" si="36"/>
        <v>582.5</v>
      </c>
      <c r="H548" s="2">
        <f t="shared" si="33"/>
        <v>339306.25</v>
      </c>
    </row>
    <row r="549" spans="1:8" x14ac:dyDescent="0.25">
      <c r="A549" s="7">
        <v>91.666666666666657</v>
      </c>
      <c r="B549">
        <v>0</v>
      </c>
      <c r="C549" s="7">
        <v>91.666666666666657</v>
      </c>
      <c r="D549">
        <v>0</v>
      </c>
      <c r="E549" s="2">
        <f t="shared" si="34"/>
        <v>368.5</v>
      </c>
      <c r="F549" s="2">
        <f t="shared" si="35"/>
        <v>199.5</v>
      </c>
      <c r="G549" s="2">
        <f t="shared" si="36"/>
        <v>169</v>
      </c>
      <c r="H549" s="2">
        <f t="shared" si="33"/>
        <v>28561</v>
      </c>
    </row>
    <row r="550" spans="1:8" x14ac:dyDescent="0.25">
      <c r="A550" s="7">
        <v>100</v>
      </c>
      <c r="B550">
        <v>100</v>
      </c>
      <c r="C550" s="7">
        <v>100</v>
      </c>
      <c r="D550">
        <v>100</v>
      </c>
      <c r="E550" s="2">
        <f t="shared" si="34"/>
        <v>782</v>
      </c>
      <c r="F550" s="2">
        <f t="shared" si="35"/>
        <v>943.5</v>
      </c>
      <c r="G550" s="2">
        <f t="shared" si="36"/>
        <v>-161.5</v>
      </c>
      <c r="H550" s="2">
        <f t="shared" si="33"/>
        <v>26082.25</v>
      </c>
    </row>
    <row r="551" spans="1:8" x14ac:dyDescent="0.25">
      <c r="A551" s="7">
        <v>96.428571428571431</v>
      </c>
      <c r="B551">
        <v>71.844660194174764</v>
      </c>
      <c r="C551" s="7">
        <v>96.428571428571431</v>
      </c>
      <c r="D551">
        <v>71.844660194174764</v>
      </c>
      <c r="E551" s="2">
        <f t="shared" si="34"/>
        <v>483</v>
      </c>
      <c r="F551" s="2">
        <f t="shared" si="35"/>
        <v>573</v>
      </c>
      <c r="G551" s="2">
        <f t="shared" si="36"/>
        <v>-90</v>
      </c>
      <c r="H551" s="2">
        <f t="shared" si="33"/>
        <v>8100</v>
      </c>
    </row>
    <row r="552" spans="1:8" x14ac:dyDescent="0.25">
      <c r="A552" s="7">
        <v>91.666666666666657</v>
      </c>
      <c r="B552">
        <v>0</v>
      </c>
      <c r="C552" s="7">
        <v>91.666666666666657</v>
      </c>
      <c r="D552">
        <v>0</v>
      </c>
      <c r="E552" s="2">
        <f t="shared" si="34"/>
        <v>368.5</v>
      </c>
      <c r="F552" s="2">
        <f t="shared" si="35"/>
        <v>199.5</v>
      </c>
      <c r="G552" s="2">
        <f t="shared" si="36"/>
        <v>169</v>
      </c>
      <c r="H552" s="2">
        <f t="shared" si="33"/>
        <v>28561</v>
      </c>
    </row>
    <row r="553" spans="1:8" x14ac:dyDescent="0.25">
      <c r="A553" s="7">
        <v>92.857142857142861</v>
      </c>
      <c r="B553">
        <v>69.047619047619051</v>
      </c>
      <c r="C553" s="7">
        <v>92.857142857142861</v>
      </c>
      <c r="D553">
        <v>69.047619047619051</v>
      </c>
      <c r="E553" s="2">
        <f t="shared" si="34"/>
        <v>400.5</v>
      </c>
      <c r="F553" s="2">
        <f t="shared" si="35"/>
        <v>545.5</v>
      </c>
      <c r="G553" s="2">
        <f t="shared" si="36"/>
        <v>-145</v>
      </c>
      <c r="H553" s="2">
        <f t="shared" si="33"/>
        <v>21025</v>
      </c>
    </row>
    <row r="554" spans="1:8" x14ac:dyDescent="0.25">
      <c r="A554" s="7">
        <v>100</v>
      </c>
      <c r="B554">
        <v>100</v>
      </c>
      <c r="C554" s="7">
        <v>100</v>
      </c>
      <c r="D554">
        <v>100</v>
      </c>
      <c r="E554" s="2">
        <f t="shared" si="34"/>
        <v>782</v>
      </c>
      <c r="F554" s="2">
        <f t="shared" si="35"/>
        <v>943.5</v>
      </c>
      <c r="G554" s="2">
        <f t="shared" si="36"/>
        <v>-161.5</v>
      </c>
      <c r="H554" s="2">
        <f t="shared" si="33"/>
        <v>26082.25</v>
      </c>
    </row>
    <row r="555" spans="1:8" x14ac:dyDescent="0.25">
      <c r="A555" s="7">
        <v>100</v>
      </c>
      <c r="B555">
        <v>85.714285714285708</v>
      </c>
      <c r="C555" s="7">
        <v>100</v>
      </c>
      <c r="D555">
        <v>85.714285714285708</v>
      </c>
      <c r="E555" s="2">
        <f t="shared" si="34"/>
        <v>782</v>
      </c>
      <c r="F555" s="2">
        <f t="shared" si="35"/>
        <v>720</v>
      </c>
      <c r="G555" s="2">
        <f t="shared" si="36"/>
        <v>62</v>
      </c>
      <c r="H555" s="2">
        <f t="shared" si="33"/>
        <v>3844</v>
      </c>
    </row>
    <row r="556" spans="1:8" x14ac:dyDescent="0.25">
      <c r="A556" s="7">
        <v>100</v>
      </c>
      <c r="B556">
        <v>0</v>
      </c>
      <c r="C556" s="7">
        <v>100</v>
      </c>
      <c r="D556">
        <v>0</v>
      </c>
      <c r="E556" s="2">
        <f t="shared" si="34"/>
        <v>782</v>
      </c>
      <c r="F556" s="2">
        <f t="shared" si="35"/>
        <v>199.5</v>
      </c>
      <c r="G556" s="2">
        <f t="shared" si="36"/>
        <v>582.5</v>
      </c>
      <c r="H556" s="2">
        <f t="shared" si="33"/>
        <v>339306.25</v>
      </c>
    </row>
    <row r="557" spans="1:8" x14ac:dyDescent="0.25">
      <c r="A557" s="7">
        <v>100</v>
      </c>
      <c r="B557">
        <v>0</v>
      </c>
      <c r="C557" s="7">
        <v>100</v>
      </c>
      <c r="D557">
        <v>0</v>
      </c>
      <c r="E557" s="2">
        <f t="shared" si="34"/>
        <v>782</v>
      </c>
      <c r="F557" s="2">
        <f t="shared" si="35"/>
        <v>199.5</v>
      </c>
      <c r="G557" s="2">
        <f t="shared" si="36"/>
        <v>582.5</v>
      </c>
      <c r="H557" s="2">
        <f t="shared" si="33"/>
        <v>339306.25</v>
      </c>
    </row>
    <row r="558" spans="1:8" x14ac:dyDescent="0.25">
      <c r="A558" s="7">
        <v>84.210526315789465</v>
      </c>
      <c r="B558">
        <v>84.615384615384613</v>
      </c>
      <c r="C558" s="7">
        <v>84.210526315789465</v>
      </c>
      <c r="D558">
        <v>84.615384615384613</v>
      </c>
      <c r="E558" s="2">
        <f t="shared" si="34"/>
        <v>226</v>
      </c>
      <c r="F558" s="2">
        <f t="shared" si="35"/>
        <v>706.5</v>
      </c>
      <c r="G558" s="2">
        <f t="shared" si="36"/>
        <v>-480.5</v>
      </c>
      <c r="H558" s="2">
        <f t="shared" si="33"/>
        <v>230880.25</v>
      </c>
    </row>
    <row r="559" spans="1:8" x14ac:dyDescent="0.25">
      <c r="A559" s="7">
        <v>87.5</v>
      </c>
      <c r="B559">
        <v>88.235294117647058</v>
      </c>
      <c r="C559" s="7">
        <v>87.5</v>
      </c>
      <c r="D559">
        <v>88.235294117647058</v>
      </c>
      <c r="E559" s="2">
        <f t="shared" si="34"/>
        <v>279.5</v>
      </c>
      <c r="F559" s="2">
        <f t="shared" si="35"/>
        <v>765.5</v>
      </c>
      <c r="G559" s="2">
        <f t="shared" si="36"/>
        <v>-486</v>
      </c>
      <c r="H559" s="2">
        <f t="shared" si="33"/>
        <v>236196</v>
      </c>
    </row>
    <row r="560" spans="1:8" x14ac:dyDescent="0.25">
      <c r="A560" s="7">
        <v>92.10526315789474</v>
      </c>
      <c r="B560">
        <v>100</v>
      </c>
      <c r="C560" s="7">
        <v>92.10526315789474</v>
      </c>
      <c r="D560">
        <v>100</v>
      </c>
      <c r="E560" s="2">
        <f t="shared" si="34"/>
        <v>381.5</v>
      </c>
      <c r="F560" s="2">
        <f t="shared" si="35"/>
        <v>943.5</v>
      </c>
      <c r="G560" s="2">
        <f t="shared" si="36"/>
        <v>-562</v>
      </c>
      <c r="H560" s="2">
        <f t="shared" si="33"/>
        <v>315844</v>
      </c>
    </row>
    <row r="561" spans="1:8" x14ac:dyDescent="0.25">
      <c r="A561" s="7">
        <v>85.714285714285708</v>
      </c>
      <c r="B561">
        <v>45.454545454545453</v>
      </c>
      <c r="C561" s="7">
        <v>85.714285714285708</v>
      </c>
      <c r="D561">
        <v>45.454545454545453</v>
      </c>
      <c r="E561" s="2">
        <f t="shared" si="34"/>
        <v>243</v>
      </c>
      <c r="F561" s="2">
        <f t="shared" si="35"/>
        <v>419.5</v>
      </c>
      <c r="G561" s="2">
        <f t="shared" si="36"/>
        <v>-176.5</v>
      </c>
      <c r="H561" s="2">
        <f t="shared" si="33"/>
        <v>31152.25</v>
      </c>
    </row>
    <row r="562" spans="1:8" x14ac:dyDescent="0.25">
      <c r="A562" s="7">
        <v>87.5</v>
      </c>
      <c r="B562">
        <v>88.235294117647058</v>
      </c>
      <c r="C562" s="7">
        <v>87.5</v>
      </c>
      <c r="D562">
        <v>88.235294117647058</v>
      </c>
      <c r="E562" s="2">
        <f t="shared" si="34"/>
        <v>279.5</v>
      </c>
      <c r="F562" s="2">
        <f t="shared" si="35"/>
        <v>765.5</v>
      </c>
      <c r="G562" s="2">
        <f t="shared" si="36"/>
        <v>-486</v>
      </c>
      <c r="H562" s="2">
        <f t="shared" si="33"/>
        <v>236196</v>
      </c>
    </row>
    <row r="563" spans="1:8" x14ac:dyDescent="0.25">
      <c r="A563" s="7">
        <v>0</v>
      </c>
      <c r="B563">
        <v>0</v>
      </c>
      <c r="C563" s="7">
        <v>0</v>
      </c>
      <c r="D563">
        <v>0</v>
      </c>
      <c r="E563" s="2">
        <f t="shared" si="34"/>
        <v>20</v>
      </c>
      <c r="F563" s="2">
        <f t="shared" si="35"/>
        <v>199.5</v>
      </c>
      <c r="G563" s="2">
        <f t="shared" si="36"/>
        <v>-179.5</v>
      </c>
      <c r="H563" s="2">
        <f t="shared" si="33"/>
        <v>32220.25</v>
      </c>
    </row>
    <row r="564" spans="1:8" x14ac:dyDescent="0.25">
      <c r="A564" s="7">
        <v>75.757575757575751</v>
      </c>
      <c r="B564">
        <v>57.692307692307686</v>
      </c>
      <c r="C564" s="7">
        <v>75.757575757575751</v>
      </c>
      <c r="D564">
        <v>57.692307692307686</v>
      </c>
      <c r="E564" s="2">
        <f t="shared" si="34"/>
        <v>151</v>
      </c>
      <c r="F564" s="2">
        <f t="shared" si="35"/>
        <v>461</v>
      </c>
      <c r="G564" s="2">
        <f t="shared" si="36"/>
        <v>-310</v>
      </c>
      <c r="H564" s="2">
        <f t="shared" si="33"/>
        <v>96100</v>
      </c>
    </row>
    <row r="565" spans="1:8" x14ac:dyDescent="0.25">
      <c r="A565" s="7">
        <v>66.666666666666657</v>
      </c>
      <c r="B565">
        <v>100</v>
      </c>
      <c r="C565" s="7">
        <v>66.666666666666657</v>
      </c>
      <c r="D565">
        <v>100</v>
      </c>
      <c r="E565" s="2">
        <f t="shared" si="34"/>
        <v>106.5</v>
      </c>
      <c r="F565" s="2">
        <f t="shared" si="35"/>
        <v>943.5</v>
      </c>
      <c r="G565" s="2">
        <f t="shared" si="36"/>
        <v>-837</v>
      </c>
      <c r="H565" s="2">
        <f t="shared" si="33"/>
        <v>700569</v>
      </c>
    </row>
    <row r="566" spans="1:8" x14ac:dyDescent="0.25">
      <c r="A566" s="7">
        <v>40</v>
      </c>
      <c r="B566">
        <v>50</v>
      </c>
      <c r="C566" s="7">
        <v>40</v>
      </c>
      <c r="D566">
        <v>50</v>
      </c>
      <c r="E566" s="2">
        <f t="shared" si="34"/>
        <v>54.5</v>
      </c>
      <c r="F566" s="2">
        <f t="shared" si="35"/>
        <v>430.5</v>
      </c>
      <c r="G566" s="2">
        <f t="shared" si="36"/>
        <v>-376</v>
      </c>
      <c r="H566" s="2">
        <f t="shared" si="33"/>
        <v>141376</v>
      </c>
    </row>
    <row r="567" spans="1:8" x14ac:dyDescent="0.25">
      <c r="A567" s="7">
        <v>100</v>
      </c>
      <c r="B567">
        <v>0</v>
      </c>
      <c r="C567" s="7">
        <v>100</v>
      </c>
      <c r="D567">
        <v>0</v>
      </c>
      <c r="E567" s="2">
        <f t="shared" si="34"/>
        <v>782</v>
      </c>
      <c r="F567" s="2">
        <f t="shared" si="35"/>
        <v>199.5</v>
      </c>
      <c r="G567" s="2">
        <f t="shared" si="36"/>
        <v>582.5</v>
      </c>
      <c r="H567" s="2">
        <f t="shared" si="33"/>
        <v>339306.25</v>
      </c>
    </row>
    <row r="568" spans="1:8" x14ac:dyDescent="0.25">
      <c r="A568" s="7">
        <v>100</v>
      </c>
      <c r="B568">
        <v>0</v>
      </c>
      <c r="C568" s="7">
        <v>100</v>
      </c>
      <c r="D568">
        <v>0</v>
      </c>
      <c r="E568" s="2">
        <f t="shared" si="34"/>
        <v>782</v>
      </c>
      <c r="F568" s="2">
        <f t="shared" si="35"/>
        <v>199.5</v>
      </c>
      <c r="G568" s="2">
        <f t="shared" si="36"/>
        <v>582.5</v>
      </c>
      <c r="H568" s="2">
        <f t="shared" si="33"/>
        <v>339306.25</v>
      </c>
    </row>
    <row r="569" spans="1:8" x14ac:dyDescent="0.25">
      <c r="A569" s="7">
        <v>91.666666666666657</v>
      </c>
      <c r="B569">
        <v>0</v>
      </c>
      <c r="C569" s="7">
        <v>91.666666666666657</v>
      </c>
      <c r="D569">
        <v>0</v>
      </c>
      <c r="E569" s="2">
        <f t="shared" si="34"/>
        <v>368.5</v>
      </c>
      <c r="F569" s="2">
        <f t="shared" si="35"/>
        <v>199.5</v>
      </c>
      <c r="G569" s="2">
        <f t="shared" si="36"/>
        <v>169</v>
      </c>
      <c r="H569" s="2">
        <f t="shared" ref="H569:H632" si="37">IF(C569="","",G569^2)</f>
        <v>28561</v>
      </c>
    </row>
    <row r="570" spans="1:8" x14ac:dyDescent="0.25">
      <c r="A570" s="7">
        <v>77.777777777777786</v>
      </c>
      <c r="B570">
        <v>0</v>
      </c>
      <c r="C570" s="7">
        <v>77.777777777777786</v>
      </c>
      <c r="D570">
        <v>0</v>
      </c>
      <c r="E570" s="2">
        <f t="shared" si="34"/>
        <v>160</v>
      </c>
      <c r="F570" s="2">
        <f t="shared" si="35"/>
        <v>199.5</v>
      </c>
      <c r="G570" s="2">
        <f t="shared" si="36"/>
        <v>-39.5</v>
      </c>
      <c r="H570" s="2">
        <f t="shared" si="37"/>
        <v>1560.25</v>
      </c>
    </row>
    <row r="571" spans="1:8" x14ac:dyDescent="0.25">
      <c r="A571" s="7">
        <v>100</v>
      </c>
      <c r="B571">
        <v>0</v>
      </c>
      <c r="C571" s="7">
        <v>100</v>
      </c>
      <c r="D571">
        <v>0</v>
      </c>
      <c r="E571" s="2">
        <f t="shared" si="34"/>
        <v>782</v>
      </c>
      <c r="F571" s="2">
        <f t="shared" si="35"/>
        <v>199.5</v>
      </c>
      <c r="G571" s="2">
        <f t="shared" si="36"/>
        <v>582.5</v>
      </c>
      <c r="H571" s="2">
        <f t="shared" si="37"/>
        <v>339306.25</v>
      </c>
    </row>
    <row r="572" spans="1:8" x14ac:dyDescent="0.25">
      <c r="A572" s="7">
        <v>100</v>
      </c>
      <c r="B572">
        <v>100</v>
      </c>
      <c r="C572" s="7">
        <v>100</v>
      </c>
      <c r="D572">
        <v>100</v>
      </c>
      <c r="E572" s="2">
        <f t="shared" si="34"/>
        <v>782</v>
      </c>
      <c r="F572" s="2">
        <f t="shared" si="35"/>
        <v>943.5</v>
      </c>
      <c r="G572" s="2">
        <f t="shared" si="36"/>
        <v>-161.5</v>
      </c>
      <c r="H572" s="2">
        <f t="shared" si="37"/>
        <v>26082.25</v>
      </c>
    </row>
    <row r="573" spans="1:8" x14ac:dyDescent="0.25">
      <c r="A573" s="7">
        <v>100</v>
      </c>
      <c r="B573">
        <v>100</v>
      </c>
      <c r="C573" s="7">
        <v>100</v>
      </c>
      <c r="D573">
        <v>100</v>
      </c>
      <c r="E573" s="2">
        <f t="shared" si="34"/>
        <v>782</v>
      </c>
      <c r="F573" s="2">
        <f t="shared" si="35"/>
        <v>943.5</v>
      </c>
      <c r="G573" s="2">
        <f t="shared" si="36"/>
        <v>-161.5</v>
      </c>
      <c r="H573" s="2">
        <f t="shared" si="37"/>
        <v>26082.25</v>
      </c>
    </row>
    <row r="574" spans="1:8" x14ac:dyDescent="0.25">
      <c r="A574" s="7">
        <v>100</v>
      </c>
      <c r="B574">
        <v>0</v>
      </c>
      <c r="C574" s="7">
        <v>100</v>
      </c>
      <c r="D574">
        <v>0</v>
      </c>
      <c r="E574" s="2">
        <f t="shared" si="34"/>
        <v>782</v>
      </c>
      <c r="F574" s="2">
        <f t="shared" si="35"/>
        <v>199.5</v>
      </c>
      <c r="G574" s="2">
        <f t="shared" si="36"/>
        <v>582.5</v>
      </c>
      <c r="H574" s="2">
        <f t="shared" si="37"/>
        <v>339306.25</v>
      </c>
    </row>
    <row r="575" spans="1:8" x14ac:dyDescent="0.25">
      <c r="A575" s="7">
        <v>0</v>
      </c>
      <c r="B575">
        <v>0</v>
      </c>
      <c r="C575" s="7">
        <v>0</v>
      </c>
      <c r="D575">
        <v>0</v>
      </c>
      <c r="E575" s="2">
        <f t="shared" si="34"/>
        <v>20</v>
      </c>
      <c r="F575" s="2">
        <f t="shared" si="35"/>
        <v>199.5</v>
      </c>
      <c r="G575" s="2">
        <f t="shared" si="36"/>
        <v>-179.5</v>
      </c>
      <c r="H575" s="2">
        <f t="shared" si="37"/>
        <v>32220.25</v>
      </c>
    </row>
    <row r="576" spans="1:8" x14ac:dyDescent="0.25">
      <c r="A576" s="7">
        <v>100</v>
      </c>
      <c r="B576">
        <v>83.333333333333343</v>
      </c>
      <c r="C576" s="7">
        <v>100</v>
      </c>
      <c r="D576">
        <v>83.333333333333343</v>
      </c>
      <c r="E576" s="2">
        <f t="shared" si="34"/>
        <v>782</v>
      </c>
      <c r="F576" s="2">
        <f t="shared" si="35"/>
        <v>687</v>
      </c>
      <c r="G576" s="2">
        <f t="shared" si="36"/>
        <v>95</v>
      </c>
      <c r="H576" s="2">
        <f t="shared" si="37"/>
        <v>9025</v>
      </c>
    </row>
    <row r="577" spans="1:8" x14ac:dyDescent="0.25">
      <c r="A577" s="7">
        <v>90.07633587786259</v>
      </c>
      <c r="B577">
        <v>93.421052631578945</v>
      </c>
      <c r="C577" s="7">
        <v>90.07633587786259</v>
      </c>
      <c r="D577">
        <v>93.421052631578945</v>
      </c>
      <c r="E577" s="2">
        <f t="shared" si="34"/>
        <v>335</v>
      </c>
      <c r="F577" s="2">
        <f t="shared" si="35"/>
        <v>842</v>
      </c>
      <c r="G577" s="2">
        <f t="shared" si="36"/>
        <v>-507</v>
      </c>
      <c r="H577" s="2">
        <f t="shared" si="37"/>
        <v>257049</v>
      </c>
    </row>
    <row r="578" spans="1:8" x14ac:dyDescent="0.25">
      <c r="A578" s="7">
        <v>100</v>
      </c>
      <c r="B578">
        <v>0</v>
      </c>
      <c r="C578" s="7">
        <v>100</v>
      </c>
      <c r="D578">
        <v>0</v>
      </c>
      <c r="E578" s="2">
        <f t="shared" si="34"/>
        <v>782</v>
      </c>
      <c r="F578" s="2">
        <f t="shared" si="35"/>
        <v>199.5</v>
      </c>
      <c r="G578" s="2">
        <f t="shared" si="36"/>
        <v>582.5</v>
      </c>
      <c r="H578" s="2">
        <f t="shared" si="37"/>
        <v>339306.25</v>
      </c>
    </row>
    <row r="579" spans="1:8" x14ac:dyDescent="0.25">
      <c r="A579" s="7">
        <v>100</v>
      </c>
      <c r="B579">
        <v>0</v>
      </c>
      <c r="C579" s="7">
        <v>100</v>
      </c>
      <c r="D579">
        <v>0</v>
      </c>
      <c r="E579" s="2">
        <f t="shared" ref="E579:E642" si="38">IF(C579="","",_xlfn.RANK.AVG(C579,C$2:C$1003,1))</f>
        <v>782</v>
      </c>
      <c r="F579" s="2">
        <f t="shared" ref="F579:F642" si="39">IF(D579="","",_xlfn.RANK.AVG(D579,D$2:D$1003,1))</f>
        <v>199.5</v>
      </c>
      <c r="G579" s="2">
        <f t="shared" ref="G579:G642" si="40">IF(C579="","",E579-F579)</f>
        <v>582.5</v>
      </c>
      <c r="H579" s="2">
        <f t="shared" si="37"/>
        <v>339306.25</v>
      </c>
    </row>
    <row r="580" spans="1:8" x14ac:dyDescent="0.25">
      <c r="A580" s="7">
        <v>100</v>
      </c>
      <c r="B580">
        <v>0</v>
      </c>
      <c r="C580" s="7">
        <v>100</v>
      </c>
      <c r="D580">
        <v>0</v>
      </c>
      <c r="E580" s="2">
        <f t="shared" si="38"/>
        <v>782</v>
      </c>
      <c r="F580" s="2">
        <f t="shared" si="39"/>
        <v>199.5</v>
      </c>
      <c r="G580" s="2">
        <f t="shared" si="40"/>
        <v>582.5</v>
      </c>
      <c r="H580" s="2">
        <f t="shared" si="37"/>
        <v>339306.25</v>
      </c>
    </row>
    <row r="581" spans="1:8" x14ac:dyDescent="0.25">
      <c r="A581" s="7">
        <v>90</v>
      </c>
      <c r="B581">
        <v>78.94736842105263</v>
      </c>
      <c r="C581" s="7">
        <v>90</v>
      </c>
      <c r="D581">
        <v>78.94736842105263</v>
      </c>
      <c r="E581" s="2">
        <f t="shared" si="38"/>
        <v>330</v>
      </c>
      <c r="F581" s="2">
        <f t="shared" si="39"/>
        <v>640.5</v>
      </c>
      <c r="G581" s="2">
        <f t="shared" si="40"/>
        <v>-310.5</v>
      </c>
      <c r="H581" s="2">
        <f t="shared" si="37"/>
        <v>96410.25</v>
      </c>
    </row>
    <row r="582" spans="1:8" x14ac:dyDescent="0.25">
      <c r="A582" s="7">
        <v>91.891891891891902</v>
      </c>
      <c r="B582">
        <v>84</v>
      </c>
      <c r="C582" s="7">
        <v>91.891891891891902</v>
      </c>
      <c r="D582">
        <v>84</v>
      </c>
      <c r="E582" s="2">
        <f t="shared" si="38"/>
        <v>377</v>
      </c>
      <c r="F582" s="2">
        <f t="shared" si="39"/>
        <v>696</v>
      </c>
      <c r="G582" s="2">
        <f t="shared" si="40"/>
        <v>-319</v>
      </c>
      <c r="H582" s="2">
        <f t="shared" si="37"/>
        <v>101761</v>
      </c>
    </row>
    <row r="583" spans="1:8" x14ac:dyDescent="0.25">
      <c r="A583" s="7">
        <v>90</v>
      </c>
      <c r="B583">
        <v>76.470588235294116</v>
      </c>
      <c r="C583" s="7">
        <v>90</v>
      </c>
      <c r="D583">
        <v>76.470588235294116</v>
      </c>
      <c r="E583" s="2">
        <f t="shared" si="38"/>
        <v>330</v>
      </c>
      <c r="F583" s="2">
        <f t="shared" si="39"/>
        <v>620.5</v>
      </c>
      <c r="G583" s="2">
        <f t="shared" si="40"/>
        <v>-290.5</v>
      </c>
      <c r="H583" s="2">
        <f t="shared" si="37"/>
        <v>84390.25</v>
      </c>
    </row>
    <row r="584" spans="1:8" x14ac:dyDescent="0.25">
      <c r="A584" s="7">
        <v>89.189189189189193</v>
      </c>
      <c r="B584">
        <v>80.769230769230774</v>
      </c>
      <c r="C584" s="7">
        <v>89.189189189189193</v>
      </c>
      <c r="D584">
        <v>80.769230769230774</v>
      </c>
      <c r="E584" s="2">
        <f t="shared" si="38"/>
        <v>306</v>
      </c>
      <c r="F584" s="2">
        <f t="shared" si="39"/>
        <v>655</v>
      </c>
      <c r="G584" s="2">
        <f t="shared" si="40"/>
        <v>-349</v>
      </c>
      <c r="H584" s="2">
        <f t="shared" si="37"/>
        <v>121801</v>
      </c>
    </row>
    <row r="585" spans="1:8" x14ac:dyDescent="0.25">
      <c r="A585" s="7">
        <v>93.650793650793645</v>
      </c>
      <c r="B585">
        <v>93.382352941176478</v>
      </c>
      <c r="C585" s="7">
        <v>93.650793650793645</v>
      </c>
      <c r="D585">
        <v>93.382352941176478</v>
      </c>
      <c r="E585" s="2">
        <f t="shared" si="38"/>
        <v>412</v>
      </c>
      <c r="F585" s="2">
        <f t="shared" si="39"/>
        <v>841</v>
      </c>
      <c r="G585" s="2">
        <f t="shared" si="40"/>
        <v>-429</v>
      </c>
      <c r="H585" s="2">
        <f t="shared" si="37"/>
        <v>184041</v>
      </c>
    </row>
    <row r="586" spans="1:8" x14ac:dyDescent="0.25">
      <c r="A586" s="7">
        <v>100</v>
      </c>
      <c r="B586">
        <v>0</v>
      </c>
      <c r="C586" s="7">
        <v>100</v>
      </c>
      <c r="D586">
        <v>0</v>
      </c>
      <c r="E586" s="2">
        <f t="shared" si="38"/>
        <v>782</v>
      </c>
      <c r="F586" s="2">
        <f t="shared" si="39"/>
        <v>199.5</v>
      </c>
      <c r="G586" s="2">
        <f t="shared" si="40"/>
        <v>582.5</v>
      </c>
      <c r="H586" s="2">
        <f t="shared" si="37"/>
        <v>339306.25</v>
      </c>
    </row>
    <row r="587" spans="1:8" x14ac:dyDescent="0.25">
      <c r="A587" s="7">
        <v>86.274509803921575</v>
      </c>
      <c r="B587">
        <v>80.392156862745097</v>
      </c>
      <c r="C587" s="7">
        <v>86.274509803921575</v>
      </c>
      <c r="D587">
        <v>80.392156862745097</v>
      </c>
      <c r="E587" s="2">
        <f t="shared" si="38"/>
        <v>254</v>
      </c>
      <c r="F587" s="2">
        <f t="shared" si="39"/>
        <v>654</v>
      </c>
      <c r="G587" s="2">
        <f t="shared" si="40"/>
        <v>-400</v>
      </c>
      <c r="H587" s="2">
        <f t="shared" si="37"/>
        <v>160000</v>
      </c>
    </row>
    <row r="588" spans="1:8" x14ac:dyDescent="0.25">
      <c r="A588" s="7">
        <v>82.954545454545453</v>
      </c>
      <c r="B588">
        <v>83.838383838383834</v>
      </c>
      <c r="C588" s="7">
        <v>82.954545454545453</v>
      </c>
      <c r="D588">
        <v>83.838383838383834</v>
      </c>
      <c r="E588" s="2">
        <f t="shared" si="38"/>
        <v>204</v>
      </c>
      <c r="F588" s="2">
        <f t="shared" si="39"/>
        <v>693</v>
      </c>
      <c r="G588" s="2">
        <f t="shared" si="40"/>
        <v>-489</v>
      </c>
      <c r="H588" s="2">
        <f t="shared" si="37"/>
        <v>239121</v>
      </c>
    </row>
    <row r="589" spans="1:8" x14ac:dyDescent="0.25">
      <c r="A589" s="7">
        <v>88.888888888888886</v>
      </c>
      <c r="B589">
        <v>0</v>
      </c>
      <c r="C589" s="7">
        <v>88.888888888888886</v>
      </c>
      <c r="D589">
        <v>0</v>
      </c>
      <c r="E589" s="2">
        <f t="shared" si="38"/>
        <v>298.5</v>
      </c>
      <c r="F589" s="2">
        <f t="shared" si="39"/>
        <v>199.5</v>
      </c>
      <c r="G589" s="2">
        <f t="shared" si="40"/>
        <v>99</v>
      </c>
      <c r="H589" s="2">
        <f t="shared" si="37"/>
        <v>9801</v>
      </c>
    </row>
    <row r="590" spans="1:8" x14ac:dyDescent="0.25">
      <c r="A590" s="7">
        <v>78.723404255319153</v>
      </c>
      <c r="B590">
        <v>78.181818181818187</v>
      </c>
      <c r="C590" s="7">
        <v>78.723404255319153</v>
      </c>
      <c r="D590">
        <v>78.181818181818187</v>
      </c>
      <c r="E590" s="2">
        <f t="shared" si="38"/>
        <v>169</v>
      </c>
      <c r="F590" s="2">
        <f t="shared" si="39"/>
        <v>637</v>
      </c>
      <c r="G590" s="2">
        <f t="shared" si="40"/>
        <v>-468</v>
      </c>
      <c r="H590" s="2">
        <f t="shared" si="37"/>
        <v>219024</v>
      </c>
    </row>
    <row r="591" spans="1:8" x14ac:dyDescent="0.25">
      <c r="A591" s="7">
        <v>100</v>
      </c>
      <c r="B591">
        <v>90.476190476190482</v>
      </c>
      <c r="C591" s="7">
        <v>100</v>
      </c>
      <c r="D591">
        <v>90.476190476190482</v>
      </c>
      <c r="E591" s="2">
        <f t="shared" si="38"/>
        <v>782</v>
      </c>
      <c r="F591" s="2">
        <f t="shared" si="39"/>
        <v>808.5</v>
      </c>
      <c r="G591" s="2">
        <f t="shared" si="40"/>
        <v>-26.5</v>
      </c>
      <c r="H591" s="2">
        <f t="shared" si="37"/>
        <v>702.25</v>
      </c>
    </row>
    <row r="592" spans="1:8" x14ac:dyDescent="0.25">
      <c r="A592" s="7">
        <v>76.146788990825684</v>
      </c>
      <c r="B592">
        <v>70.967741935483872</v>
      </c>
      <c r="C592" s="7">
        <v>76.146788990825684</v>
      </c>
      <c r="D592">
        <v>70.967741935483872</v>
      </c>
      <c r="E592" s="2">
        <f t="shared" si="38"/>
        <v>153</v>
      </c>
      <c r="F592" s="2">
        <f t="shared" si="39"/>
        <v>564</v>
      </c>
      <c r="G592" s="2">
        <f t="shared" si="40"/>
        <v>-411</v>
      </c>
      <c r="H592" s="2">
        <f t="shared" si="37"/>
        <v>168921</v>
      </c>
    </row>
    <row r="593" spans="1:8" x14ac:dyDescent="0.25">
      <c r="A593" s="7">
        <v>100</v>
      </c>
      <c r="B593">
        <v>0</v>
      </c>
      <c r="C593" s="7">
        <v>100</v>
      </c>
      <c r="D593">
        <v>0</v>
      </c>
      <c r="E593" s="2">
        <f t="shared" si="38"/>
        <v>782</v>
      </c>
      <c r="F593" s="2">
        <f t="shared" si="39"/>
        <v>199.5</v>
      </c>
      <c r="G593" s="2">
        <f t="shared" si="40"/>
        <v>582.5</v>
      </c>
      <c r="H593" s="2">
        <f t="shared" si="37"/>
        <v>339306.25</v>
      </c>
    </row>
    <row r="594" spans="1:8" x14ac:dyDescent="0.25">
      <c r="A594" s="7">
        <v>100</v>
      </c>
      <c r="B594">
        <v>0</v>
      </c>
      <c r="C594" s="7">
        <v>100</v>
      </c>
      <c r="D594">
        <v>0</v>
      </c>
      <c r="E594" s="2">
        <f t="shared" si="38"/>
        <v>782</v>
      </c>
      <c r="F594" s="2">
        <f t="shared" si="39"/>
        <v>199.5</v>
      </c>
      <c r="G594" s="2">
        <f t="shared" si="40"/>
        <v>582.5</v>
      </c>
      <c r="H594" s="2">
        <f t="shared" si="37"/>
        <v>339306.25</v>
      </c>
    </row>
    <row r="595" spans="1:8" x14ac:dyDescent="0.25">
      <c r="A595" s="7">
        <v>100</v>
      </c>
      <c r="B595">
        <v>0</v>
      </c>
      <c r="C595" s="7">
        <v>100</v>
      </c>
      <c r="D595">
        <v>0</v>
      </c>
      <c r="E595" s="2">
        <f t="shared" si="38"/>
        <v>782</v>
      </c>
      <c r="F595" s="2">
        <f t="shared" si="39"/>
        <v>199.5</v>
      </c>
      <c r="G595" s="2">
        <f t="shared" si="40"/>
        <v>582.5</v>
      </c>
      <c r="H595" s="2">
        <f t="shared" si="37"/>
        <v>339306.25</v>
      </c>
    </row>
    <row r="596" spans="1:8" x14ac:dyDescent="0.25">
      <c r="A596" s="7">
        <v>100</v>
      </c>
      <c r="B596">
        <v>0</v>
      </c>
      <c r="C596" s="7">
        <v>100</v>
      </c>
      <c r="D596">
        <v>0</v>
      </c>
      <c r="E596" s="2">
        <f t="shared" si="38"/>
        <v>782</v>
      </c>
      <c r="F596" s="2">
        <f t="shared" si="39"/>
        <v>199.5</v>
      </c>
      <c r="G596" s="2">
        <f t="shared" si="40"/>
        <v>582.5</v>
      </c>
      <c r="H596" s="2">
        <f t="shared" si="37"/>
        <v>339306.25</v>
      </c>
    </row>
    <row r="597" spans="1:8" x14ac:dyDescent="0.25">
      <c r="A597" s="7">
        <v>100</v>
      </c>
      <c r="B597">
        <v>0</v>
      </c>
      <c r="C597" s="7">
        <v>100</v>
      </c>
      <c r="D597">
        <v>0</v>
      </c>
      <c r="E597" s="2">
        <f t="shared" si="38"/>
        <v>782</v>
      </c>
      <c r="F597" s="2">
        <f t="shared" si="39"/>
        <v>199.5</v>
      </c>
      <c r="G597" s="2">
        <f t="shared" si="40"/>
        <v>582.5</v>
      </c>
      <c r="H597" s="2">
        <f t="shared" si="37"/>
        <v>339306.25</v>
      </c>
    </row>
    <row r="598" spans="1:8" x14ac:dyDescent="0.25">
      <c r="A598" s="7">
        <v>100</v>
      </c>
      <c r="B598">
        <v>0</v>
      </c>
      <c r="C598" s="7">
        <v>100</v>
      </c>
      <c r="D598">
        <v>0</v>
      </c>
      <c r="E598" s="2">
        <f t="shared" si="38"/>
        <v>782</v>
      </c>
      <c r="F598" s="2">
        <f t="shared" si="39"/>
        <v>199.5</v>
      </c>
      <c r="G598" s="2">
        <f t="shared" si="40"/>
        <v>582.5</v>
      </c>
      <c r="H598" s="2">
        <f t="shared" si="37"/>
        <v>339306.25</v>
      </c>
    </row>
    <row r="599" spans="1:8" x14ac:dyDescent="0.25">
      <c r="A599" s="7">
        <v>95.652173913043484</v>
      </c>
      <c r="B599">
        <v>42.222222222222221</v>
      </c>
      <c r="C599" s="7">
        <v>95.652173913043484</v>
      </c>
      <c r="D599">
        <v>42.222222222222221</v>
      </c>
      <c r="E599" s="2">
        <f t="shared" si="38"/>
        <v>462.5</v>
      </c>
      <c r="F599" s="2">
        <f t="shared" si="39"/>
        <v>416</v>
      </c>
      <c r="G599" s="2">
        <f t="shared" si="40"/>
        <v>46.5</v>
      </c>
      <c r="H599" s="2">
        <f t="shared" si="37"/>
        <v>2162.25</v>
      </c>
    </row>
    <row r="600" spans="1:8" x14ac:dyDescent="0.25">
      <c r="A600" s="7">
        <v>96.15384615384616</v>
      </c>
      <c r="B600">
        <v>81.25</v>
      </c>
      <c r="C600" s="7">
        <v>96.15384615384616</v>
      </c>
      <c r="D600">
        <v>81.25</v>
      </c>
      <c r="E600" s="2">
        <f t="shared" si="38"/>
        <v>479</v>
      </c>
      <c r="F600" s="2">
        <f t="shared" si="39"/>
        <v>659</v>
      </c>
      <c r="G600" s="2">
        <f t="shared" si="40"/>
        <v>-180</v>
      </c>
      <c r="H600" s="2">
        <f t="shared" si="37"/>
        <v>32400</v>
      </c>
    </row>
    <row r="601" spans="1:8" x14ac:dyDescent="0.25">
      <c r="A601" s="7">
        <v>98.148148148148152</v>
      </c>
      <c r="B601">
        <v>97.297297297297305</v>
      </c>
      <c r="C601" s="7">
        <v>98.148148148148152</v>
      </c>
      <c r="D601">
        <v>97.297297297297305</v>
      </c>
      <c r="E601" s="2">
        <f t="shared" si="38"/>
        <v>538</v>
      </c>
      <c r="F601" s="2">
        <f t="shared" si="39"/>
        <v>874</v>
      </c>
      <c r="G601" s="2">
        <f t="shared" si="40"/>
        <v>-336</v>
      </c>
      <c r="H601" s="2">
        <f t="shared" si="37"/>
        <v>112896</v>
      </c>
    </row>
    <row r="602" spans="1:8" x14ac:dyDescent="0.25">
      <c r="A602" s="7">
        <v>100</v>
      </c>
      <c r="B602">
        <v>0</v>
      </c>
      <c r="C602" s="7">
        <v>100</v>
      </c>
      <c r="D602">
        <v>0</v>
      </c>
      <c r="E602" s="2">
        <f t="shared" si="38"/>
        <v>782</v>
      </c>
      <c r="F602" s="2">
        <f t="shared" si="39"/>
        <v>199.5</v>
      </c>
      <c r="G602" s="2">
        <f t="shared" si="40"/>
        <v>582.5</v>
      </c>
      <c r="H602" s="2">
        <f t="shared" si="37"/>
        <v>339306.25</v>
      </c>
    </row>
    <row r="603" spans="1:8" x14ac:dyDescent="0.25">
      <c r="A603" s="7">
        <v>100</v>
      </c>
      <c r="B603">
        <v>83.333333333333343</v>
      </c>
      <c r="C603" s="7">
        <v>100</v>
      </c>
      <c r="D603">
        <v>83.333333333333343</v>
      </c>
      <c r="E603" s="2">
        <f t="shared" si="38"/>
        <v>782</v>
      </c>
      <c r="F603" s="2">
        <f t="shared" si="39"/>
        <v>687</v>
      </c>
      <c r="G603" s="2">
        <f t="shared" si="40"/>
        <v>95</v>
      </c>
      <c r="H603" s="2">
        <f t="shared" si="37"/>
        <v>9025</v>
      </c>
    </row>
    <row r="604" spans="1:8" x14ac:dyDescent="0.25">
      <c r="A604" s="7">
        <v>87.096774193548384</v>
      </c>
      <c r="B604">
        <v>73.68421052631578</v>
      </c>
      <c r="C604" s="7">
        <v>87.096774193548384</v>
      </c>
      <c r="D604">
        <v>73.68421052631578</v>
      </c>
      <c r="E604" s="2">
        <f t="shared" si="38"/>
        <v>270.5</v>
      </c>
      <c r="F604" s="2">
        <f t="shared" si="39"/>
        <v>596.5</v>
      </c>
      <c r="G604" s="2">
        <f t="shared" si="40"/>
        <v>-326</v>
      </c>
      <c r="H604" s="2">
        <f t="shared" si="37"/>
        <v>106276</v>
      </c>
    </row>
    <row r="605" spans="1:8" x14ac:dyDescent="0.25">
      <c r="A605" s="7">
        <v>100</v>
      </c>
      <c r="B605">
        <v>100</v>
      </c>
      <c r="C605" s="7">
        <v>100</v>
      </c>
      <c r="D605">
        <v>100</v>
      </c>
      <c r="E605" s="2">
        <f t="shared" si="38"/>
        <v>782</v>
      </c>
      <c r="F605" s="2">
        <f t="shared" si="39"/>
        <v>943.5</v>
      </c>
      <c r="G605" s="2">
        <f t="shared" si="40"/>
        <v>-161.5</v>
      </c>
      <c r="H605" s="2">
        <f t="shared" si="37"/>
        <v>26082.25</v>
      </c>
    </row>
    <row r="606" spans="1:8" x14ac:dyDescent="0.25">
      <c r="A606" s="7">
        <v>100</v>
      </c>
      <c r="B606">
        <v>0</v>
      </c>
      <c r="C606" s="7">
        <v>100</v>
      </c>
      <c r="D606">
        <v>0</v>
      </c>
      <c r="E606" s="2">
        <f t="shared" si="38"/>
        <v>782</v>
      </c>
      <c r="F606" s="2">
        <f t="shared" si="39"/>
        <v>199.5</v>
      </c>
      <c r="G606" s="2">
        <f t="shared" si="40"/>
        <v>582.5</v>
      </c>
      <c r="H606" s="2">
        <f t="shared" si="37"/>
        <v>339306.25</v>
      </c>
    </row>
    <row r="607" spans="1:8" x14ac:dyDescent="0.25">
      <c r="A607" s="7">
        <v>100</v>
      </c>
      <c r="B607">
        <v>0</v>
      </c>
      <c r="C607" s="7">
        <v>100</v>
      </c>
      <c r="D607">
        <v>0</v>
      </c>
      <c r="E607" s="2">
        <f t="shared" si="38"/>
        <v>782</v>
      </c>
      <c r="F607" s="2">
        <f t="shared" si="39"/>
        <v>199.5</v>
      </c>
      <c r="G607" s="2">
        <f t="shared" si="40"/>
        <v>582.5</v>
      </c>
      <c r="H607" s="2">
        <f t="shared" si="37"/>
        <v>339306.25</v>
      </c>
    </row>
    <row r="608" spans="1:8" x14ac:dyDescent="0.25">
      <c r="A608" s="7">
        <v>100</v>
      </c>
      <c r="B608">
        <v>100</v>
      </c>
      <c r="C608" s="7">
        <v>100</v>
      </c>
      <c r="D608">
        <v>100</v>
      </c>
      <c r="E608" s="2">
        <f t="shared" si="38"/>
        <v>782</v>
      </c>
      <c r="F608" s="2">
        <f t="shared" si="39"/>
        <v>943.5</v>
      </c>
      <c r="G608" s="2">
        <f t="shared" si="40"/>
        <v>-161.5</v>
      </c>
      <c r="H608" s="2">
        <f t="shared" si="37"/>
        <v>26082.25</v>
      </c>
    </row>
    <row r="609" spans="1:8" x14ac:dyDescent="0.25">
      <c r="A609" s="7">
        <v>84.313725490196077</v>
      </c>
      <c r="B609">
        <v>64.285714285714292</v>
      </c>
      <c r="C609" s="7">
        <v>84.313725490196077</v>
      </c>
      <c r="D609">
        <v>64.285714285714292</v>
      </c>
      <c r="E609" s="2">
        <f t="shared" si="38"/>
        <v>231</v>
      </c>
      <c r="F609" s="2">
        <f t="shared" si="39"/>
        <v>503</v>
      </c>
      <c r="G609" s="2">
        <f t="shared" si="40"/>
        <v>-272</v>
      </c>
      <c r="H609" s="2">
        <f t="shared" si="37"/>
        <v>73984</v>
      </c>
    </row>
    <row r="610" spans="1:8" x14ac:dyDescent="0.25">
      <c r="A610" s="7">
        <v>86.567164179104466</v>
      </c>
      <c r="B610">
        <v>65</v>
      </c>
      <c r="C610" s="7">
        <v>86.567164179104466</v>
      </c>
      <c r="D610">
        <v>65</v>
      </c>
      <c r="E610" s="2">
        <f t="shared" si="38"/>
        <v>257</v>
      </c>
      <c r="F610" s="2">
        <f t="shared" si="39"/>
        <v>506</v>
      </c>
      <c r="G610" s="2">
        <f t="shared" si="40"/>
        <v>-249</v>
      </c>
      <c r="H610" s="2">
        <f t="shared" si="37"/>
        <v>62001</v>
      </c>
    </row>
    <row r="611" spans="1:8" x14ac:dyDescent="0.25">
      <c r="A611" s="7">
        <v>94.238683127572017</v>
      </c>
      <c r="B611">
        <v>82.278481012658233</v>
      </c>
      <c r="C611" s="7">
        <v>94.238683127572017</v>
      </c>
      <c r="D611">
        <v>82.278481012658233</v>
      </c>
      <c r="E611" s="2">
        <f t="shared" si="38"/>
        <v>424</v>
      </c>
      <c r="F611" s="2">
        <f t="shared" si="39"/>
        <v>671</v>
      </c>
      <c r="G611" s="2">
        <f t="shared" si="40"/>
        <v>-247</v>
      </c>
      <c r="H611" s="2">
        <f t="shared" si="37"/>
        <v>61009</v>
      </c>
    </row>
    <row r="612" spans="1:8" x14ac:dyDescent="0.25">
      <c r="A612" s="7">
        <v>86.842105263157904</v>
      </c>
      <c r="B612">
        <v>77.272727272727266</v>
      </c>
      <c r="C612" s="7">
        <v>86.842105263157904</v>
      </c>
      <c r="D612">
        <v>77.272727272727266</v>
      </c>
      <c r="E612" s="2">
        <f t="shared" si="38"/>
        <v>266</v>
      </c>
      <c r="F612" s="2">
        <f t="shared" si="39"/>
        <v>626</v>
      </c>
      <c r="G612" s="2">
        <f t="shared" si="40"/>
        <v>-360</v>
      </c>
      <c r="H612" s="2">
        <f t="shared" si="37"/>
        <v>129600</v>
      </c>
    </row>
    <row r="613" spans="1:8" x14ac:dyDescent="0.25">
      <c r="A613" s="7">
        <v>85.714285714285708</v>
      </c>
      <c r="B613">
        <v>66.666666666666657</v>
      </c>
      <c r="C613" s="7">
        <v>85.714285714285708</v>
      </c>
      <c r="D613">
        <v>66.666666666666657</v>
      </c>
      <c r="E613" s="2">
        <f t="shared" si="38"/>
        <v>243</v>
      </c>
      <c r="F613" s="2">
        <f t="shared" si="39"/>
        <v>519.5</v>
      </c>
      <c r="G613" s="2">
        <f t="shared" si="40"/>
        <v>-276.5</v>
      </c>
      <c r="H613" s="2">
        <f t="shared" si="37"/>
        <v>76452.25</v>
      </c>
    </row>
    <row r="614" spans="1:8" x14ac:dyDescent="0.25">
      <c r="A614" s="7">
        <v>100</v>
      </c>
      <c r="B614">
        <v>0</v>
      </c>
      <c r="C614" s="7">
        <v>100</v>
      </c>
      <c r="D614">
        <v>0</v>
      </c>
      <c r="E614" s="2">
        <f t="shared" si="38"/>
        <v>782</v>
      </c>
      <c r="F614" s="2">
        <f t="shared" si="39"/>
        <v>199.5</v>
      </c>
      <c r="G614" s="2">
        <f t="shared" si="40"/>
        <v>582.5</v>
      </c>
      <c r="H614" s="2">
        <f t="shared" si="37"/>
        <v>339306.25</v>
      </c>
    </row>
    <row r="615" spans="1:8" x14ac:dyDescent="0.25">
      <c r="A615" s="7">
        <v>97.282608695652172</v>
      </c>
      <c r="B615">
        <v>84.722222222222214</v>
      </c>
      <c r="C615" s="7">
        <v>97.282608695652172</v>
      </c>
      <c r="D615">
        <v>84.722222222222214</v>
      </c>
      <c r="E615" s="2">
        <f t="shared" si="38"/>
        <v>505</v>
      </c>
      <c r="F615" s="2">
        <f t="shared" si="39"/>
        <v>710</v>
      </c>
      <c r="G615" s="2">
        <f t="shared" si="40"/>
        <v>-205</v>
      </c>
      <c r="H615" s="2">
        <f t="shared" si="37"/>
        <v>42025</v>
      </c>
    </row>
    <row r="616" spans="1:8" x14ac:dyDescent="0.25">
      <c r="A616" s="7">
        <v>100</v>
      </c>
      <c r="B616">
        <v>100</v>
      </c>
      <c r="C616" s="7">
        <v>100</v>
      </c>
      <c r="D616">
        <v>100</v>
      </c>
      <c r="E616" s="2">
        <f t="shared" si="38"/>
        <v>782</v>
      </c>
      <c r="F616" s="2">
        <f t="shared" si="39"/>
        <v>943.5</v>
      </c>
      <c r="G616" s="2">
        <f t="shared" si="40"/>
        <v>-161.5</v>
      </c>
      <c r="H616" s="2">
        <f t="shared" si="37"/>
        <v>26082.25</v>
      </c>
    </row>
    <row r="617" spans="1:8" x14ac:dyDescent="0.25">
      <c r="A617" s="7">
        <v>97.560975609756099</v>
      </c>
      <c r="B617">
        <v>46.153846153846153</v>
      </c>
      <c r="C617" s="7">
        <v>97.560975609756099</v>
      </c>
      <c r="D617">
        <v>46.153846153846153</v>
      </c>
      <c r="E617" s="2">
        <f t="shared" si="38"/>
        <v>519.5</v>
      </c>
      <c r="F617" s="2">
        <f t="shared" si="39"/>
        <v>421</v>
      </c>
      <c r="G617" s="2">
        <f t="shared" si="40"/>
        <v>98.5</v>
      </c>
      <c r="H617" s="2">
        <f t="shared" si="37"/>
        <v>9702.25</v>
      </c>
    </row>
    <row r="618" spans="1:8" x14ac:dyDescent="0.25">
      <c r="A618" s="7">
        <v>100</v>
      </c>
      <c r="B618">
        <v>0</v>
      </c>
      <c r="C618" s="7">
        <v>100</v>
      </c>
      <c r="D618">
        <v>0</v>
      </c>
      <c r="E618" s="2">
        <f t="shared" si="38"/>
        <v>782</v>
      </c>
      <c r="F618" s="2">
        <f t="shared" si="39"/>
        <v>199.5</v>
      </c>
      <c r="G618" s="2">
        <f t="shared" si="40"/>
        <v>582.5</v>
      </c>
      <c r="H618" s="2">
        <f t="shared" si="37"/>
        <v>339306.25</v>
      </c>
    </row>
    <row r="619" spans="1:8" x14ac:dyDescent="0.25">
      <c r="A619" s="7">
        <v>100</v>
      </c>
      <c r="B619">
        <v>0</v>
      </c>
      <c r="C619" s="7">
        <v>100</v>
      </c>
      <c r="D619">
        <v>0</v>
      </c>
      <c r="E619" s="2">
        <f t="shared" si="38"/>
        <v>782</v>
      </c>
      <c r="F619" s="2">
        <f t="shared" si="39"/>
        <v>199.5</v>
      </c>
      <c r="G619" s="2">
        <f t="shared" si="40"/>
        <v>582.5</v>
      </c>
      <c r="H619" s="2">
        <f t="shared" si="37"/>
        <v>339306.25</v>
      </c>
    </row>
    <row r="620" spans="1:8" x14ac:dyDescent="0.25">
      <c r="A620" s="7">
        <v>100</v>
      </c>
      <c r="B620">
        <v>0</v>
      </c>
      <c r="C620" s="7">
        <v>100</v>
      </c>
      <c r="D620">
        <v>0</v>
      </c>
      <c r="E620" s="2">
        <f t="shared" si="38"/>
        <v>782</v>
      </c>
      <c r="F620" s="2">
        <f t="shared" si="39"/>
        <v>199.5</v>
      </c>
      <c r="G620" s="2">
        <f t="shared" si="40"/>
        <v>582.5</v>
      </c>
      <c r="H620" s="2">
        <f t="shared" si="37"/>
        <v>339306.25</v>
      </c>
    </row>
    <row r="621" spans="1:8" x14ac:dyDescent="0.25">
      <c r="A621" s="7">
        <v>100</v>
      </c>
      <c r="B621">
        <v>0</v>
      </c>
      <c r="C621" s="7">
        <v>100</v>
      </c>
      <c r="D621">
        <v>0</v>
      </c>
      <c r="E621" s="2">
        <f t="shared" si="38"/>
        <v>782</v>
      </c>
      <c r="F621" s="2">
        <f t="shared" si="39"/>
        <v>199.5</v>
      </c>
      <c r="G621" s="2">
        <f t="shared" si="40"/>
        <v>582.5</v>
      </c>
      <c r="H621" s="2">
        <f t="shared" si="37"/>
        <v>339306.25</v>
      </c>
    </row>
    <row r="622" spans="1:8" x14ac:dyDescent="0.25">
      <c r="A622" s="7">
        <v>100</v>
      </c>
      <c r="B622">
        <v>100</v>
      </c>
      <c r="C622" s="7">
        <v>100</v>
      </c>
      <c r="D622">
        <v>100</v>
      </c>
      <c r="E622" s="2">
        <f t="shared" si="38"/>
        <v>782</v>
      </c>
      <c r="F622" s="2">
        <f t="shared" si="39"/>
        <v>943.5</v>
      </c>
      <c r="G622" s="2">
        <f t="shared" si="40"/>
        <v>-161.5</v>
      </c>
      <c r="H622" s="2">
        <f t="shared" si="37"/>
        <v>26082.25</v>
      </c>
    </row>
    <row r="623" spans="1:8" x14ac:dyDescent="0.25">
      <c r="A623" s="7">
        <v>100</v>
      </c>
      <c r="B623">
        <v>100</v>
      </c>
      <c r="C623" s="7">
        <v>100</v>
      </c>
      <c r="D623">
        <v>100</v>
      </c>
      <c r="E623" s="2">
        <f t="shared" si="38"/>
        <v>782</v>
      </c>
      <c r="F623" s="2">
        <f t="shared" si="39"/>
        <v>943.5</v>
      </c>
      <c r="G623" s="2">
        <f t="shared" si="40"/>
        <v>-161.5</v>
      </c>
      <c r="H623" s="2">
        <f t="shared" si="37"/>
        <v>26082.25</v>
      </c>
    </row>
    <row r="624" spans="1:8" x14ac:dyDescent="0.25">
      <c r="A624" s="7">
        <v>100</v>
      </c>
      <c r="B624">
        <v>70.588235294117652</v>
      </c>
      <c r="C624" s="7">
        <v>100</v>
      </c>
      <c r="D624">
        <v>70.588235294117652</v>
      </c>
      <c r="E624" s="2">
        <f t="shared" si="38"/>
        <v>782</v>
      </c>
      <c r="F624" s="2">
        <f t="shared" si="39"/>
        <v>557</v>
      </c>
      <c r="G624" s="2">
        <f t="shared" si="40"/>
        <v>225</v>
      </c>
      <c r="H624" s="2">
        <f t="shared" si="37"/>
        <v>50625</v>
      </c>
    </row>
    <row r="625" spans="1:8" x14ac:dyDescent="0.25">
      <c r="A625" s="7">
        <v>85.714285714285708</v>
      </c>
      <c r="B625">
        <v>66.666666666666657</v>
      </c>
      <c r="C625" s="7">
        <v>85.714285714285708</v>
      </c>
      <c r="D625">
        <v>66.666666666666657</v>
      </c>
      <c r="E625" s="2">
        <f t="shared" si="38"/>
        <v>243</v>
      </c>
      <c r="F625" s="2">
        <f t="shared" si="39"/>
        <v>519.5</v>
      </c>
      <c r="G625" s="2">
        <f t="shared" si="40"/>
        <v>-276.5</v>
      </c>
      <c r="H625" s="2">
        <f t="shared" si="37"/>
        <v>76452.25</v>
      </c>
    </row>
    <row r="626" spans="1:8" x14ac:dyDescent="0.25">
      <c r="A626" s="7">
        <v>72.727272727272734</v>
      </c>
      <c r="B626">
        <v>62.5</v>
      </c>
      <c r="C626" s="7">
        <v>72.727272727272734</v>
      </c>
      <c r="D626">
        <v>62.5</v>
      </c>
      <c r="E626" s="2">
        <f t="shared" si="38"/>
        <v>123</v>
      </c>
      <c r="F626" s="2">
        <f t="shared" si="39"/>
        <v>492</v>
      </c>
      <c r="G626" s="2">
        <f t="shared" si="40"/>
        <v>-369</v>
      </c>
      <c r="H626" s="2">
        <f t="shared" si="37"/>
        <v>136161</v>
      </c>
    </row>
    <row r="627" spans="1:8" x14ac:dyDescent="0.25">
      <c r="A627" s="7">
        <v>100</v>
      </c>
      <c r="B627">
        <v>0</v>
      </c>
      <c r="C627" s="7">
        <v>100</v>
      </c>
      <c r="D627">
        <v>0</v>
      </c>
      <c r="E627" s="2">
        <f t="shared" si="38"/>
        <v>782</v>
      </c>
      <c r="F627" s="2">
        <f t="shared" si="39"/>
        <v>199.5</v>
      </c>
      <c r="G627" s="2">
        <f t="shared" si="40"/>
        <v>582.5</v>
      </c>
      <c r="H627" s="2">
        <f t="shared" si="37"/>
        <v>339306.25</v>
      </c>
    </row>
    <row r="628" spans="1:8" x14ac:dyDescent="0.25">
      <c r="A628" s="7">
        <v>94.029850746268664</v>
      </c>
      <c r="B628">
        <v>86.956521739130437</v>
      </c>
      <c r="C628" s="7">
        <v>94.029850746268664</v>
      </c>
      <c r="D628">
        <v>86.956521739130437</v>
      </c>
      <c r="E628" s="2">
        <f t="shared" si="38"/>
        <v>417.5</v>
      </c>
      <c r="F628" s="2">
        <f t="shared" si="39"/>
        <v>741.5</v>
      </c>
      <c r="G628" s="2">
        <f t="shared" si="40"/>
        <v>-324</v>
      </c>
      <c r="H628" s="2">
        <f t="shared" si="37"/>
        <v>104976</v>
      </c>
    </row>
    <row r="629" spans="1:8" x14ac:dyDescent="0.25">
      <c r="A629" s="7">
        <v>72.222222222222214</v>
      </c>
      <c r="B629">
        <v>70</v>
      </c>
      <c r="C629" s="7">
        <v>72.222222222222214</v>
      </c>
      <c r="D629">
        <v>70</v>
      </c>
      <c r="E629" s="2">
        <f t="shared" si="38"/>
        <v>121.5</v>
      </c>
      <c r="F629" s="2">
        <f t="shared" si="39"/>
        <v>552.5</v>
      </c>
      <c r="G629" s="2">
        <f t="shared" si="40"/>
        <v>-431</v>
      </c>
      <c r="H629" s="2">
        <f t="shared" si="37"/>
        <v>185761</v>
      </c>
    </row>
    <row r="630" spans="1:8" x14ac:dyDescent="0.25">
      <c r="A630" s="7">
        <v>88.888888888888886</v>
      </c>
      <c r="B630">
        <v>100</v>
      </c>
      <c r="C630" s="7">
        <v>88.888888888888886</v>
      </c>
      <c r="D630">
        <v>100</v>
      </c>
      <c r="E630" s="2">
        <f t="shared" si="38"/>
        <v>298.5</v>
      </c>
      <c r="F630" s="2">
        <f t="shared" si="39"/>
        <v>943.5</v>
      </c>
      <c r="G630" s="2">
        <f t="shared" si="40"/>
        <v>-645</v>
      </c>
      <c r="H630" s="2">
        <f t="shared" si="37"/>
        <v>416025</v>
      </c>
    </row>
    <row r="631" spans="1:8" x14ac:dyDescent="0.25">
      <c r="A631" s="7">
        <v>95.652173913043484</v>
      </c>
      <c r="B631">
        <v>84.210526315789465</v>
      </c>
      <c r="C631" s="7">
        <v>95.652173913043484</v>
      </c>
      <c r="D631">
        <v>84.210526315789465</v>
      </c>
      <c r="E631" s="2">
        <f t="shared" si="38"/>
        <v>462.5</v>
      </c>
      <c r="F631" s="2">
        <f t="shared" si="39"/>
        <v>697</v>
      </c>
      <c r="G631" s="2">
        <f t="shared" si="40"/>
        <v>-234.5</v>
      </c>
      <c r="H631" s="2">
        <f t="shared" si="37"/>
        <v>54990.25</v>
      </c>
    </row>
    <row r="632" spans="1:8" x14ac:dyDescent="0.25">
      <c r="A632" s="7">
        <v>93.75</v>
      </c>
      <c r="B632">
        <v>88.888888888888886</v>
      </c>
      <c r="C632" s="7">
        <v>93.75</v>
      </c>
      <c r="D632">
        <v>88.888888888888886</v>
      </c>
      <c r="E632" s="2">
        <f t="shared" si="38"/>
        <v>414</v>
      </c>
      <c r="F632" s="2">
        <f t="shared" si="39"/>
        <v>777.5</v>
      </c>
      <c r="G632" s="2">
        <f t="shared" si="40"/>
        <v>-363.5</v>
      </c>
      <c r="H632" s="2">
        <f t="shared" si="37"/>
        <v>132132.25</v>
      </c>
    </row>
    <row r="633" spans="1:8" x14ac:dyDescent="0.25">
      <c r="A633" s="7">
        <v>80</v>
      </c>
      <c r="B633">
        <v>100</v>
      </c>
      <c r="C633" s="7">
        <v>80</v>
      </c>
      <c r="D633">
        <v>100</v>
      </c>
      <c r="E633" s="2">
        <f t="shared" si="38"/>
        <v>179.5</v>
      </c>
      <c r="F633" s="2">
        <f t="shared" si="39"/>
        <v>943.5</v>
      </c>
      <c r="G633" s="2">
        <f t="shared" si="40"/>
        <v>-764</v>
      </c>
      <c r="H633" s="2">
        <f t="shared" ref="H633:H696" si="41">IF(C633="","",G633^2)</f>
        <v>583696</v>
      </c>
    </row>
    <row r="634" spans="1:8" x14ac:dyDescent="0.25">
      <c r="A634" s="7">
        <v>100</v>
      </c>
      <c r="B634">
        <v>80</v>
      </c>
      <c r="C634" s="7">
        <v>100</v>
      </c>
      <c r="D634">
        <v>80</v>
      </c>
      <c r="E634" s="2">
        <f t="shared" si="38"/>
        <v>782</v>
      </c>
      <c r="F634" s="2">
        <f t="shared" si="39"/>
        <v>649.5</v>
      </c>
      <c r="G634" s="2">
        <f t="shared" si="40"/>
        <v>132.5</v>
      </c>
      <c r="H634" s="2">
        <f t="shared" si="41"/>
        <v>17556.25</v>
      </c>
    </row>
    <row r="635" spans="1:8" x14ac:dyDescent="0.25">
      <c r="A635" s="7">
        <v>90</v>
      </c>
      <c r="B635">
        <v>100</v>
      </c>
      <c r="C635" s="7">
        <v>90</v>
      </c>
      <c r="D635">
        <v>100</v>
      </c>
      <c r="E635" s="2">
        <f t="shared" si="38"/>
        <v>330</v>
      </c>
      <c r="F635" s="2">
        <f t="shared" si="39"/>
        <v>943.5</v>
      </c>
      <c r="G635" s="2">
        <f t="shared" si="40"/>
        <v>-613.5</v>
      </c>
      <c r="H635" s="2">
        <f t="shared" si="41"/>
        <v>376382.25</v>
      </c>
    </row>
    <row r="636" spans="1:8" x14ac:dyDescent="0.25">
      <c r="A636" s="7">
        <v>50</v>
      </c>
      <c r="B636">
        <v>0</v>
      </c>
      <c r="C636" s="7">
        <v>50</v>
      </c>
      <c r="D636">
        <v>0</v>
      </c>
      <c r="E636" s="2">
        <f t="shared" si="38"/>
        <v>69</v>
      </c>
      <c r="F636" s="2">
        <f t="shared" si="39"/>
        <v>199.5</v>
      </c>
      <c r="G636" s="2">
        <f t="shared" si="40"/>
        <v>-130.5</v>
      </c>
      <c r="H636" s="2">
        <f t="shared" si="41"/>
        <v>17030.25</v>
      </c>
    </row>
    <row r="637" spans="1:8" x14ac:dyDescent="0.25">
      <c r="A637" s="7">
        <v>95.454545454545453</v>
      </c>
      <c r="B637">
        <v>47.826086956521742</v>
      </c>
      <c r="C637" s="7">
        <v>95.454545454545453</v>
      </c>
      <c r="D637">
        <v>47.826086956521742</v>
      </c>
      <c r="E637" s="2">
        <f t="shared" si="38"/>
        <v>455.5</v>
      </c>
      <c r="F637" s="2">
        <f t="shared" si="39"/>
        <v>423</v>
      </c>
      <c r="G637" s="2">
        <f t="shared" si="40"/>
        <v>32.5</v>
      </c>
      <c r="H637" s="2">
        <f t="shared" si="41"/>
        <v>1056.25</v>
      </c>
    </row>
    <row r="638" spans="1:8" x14ac:dyDescent="0.25">
      <c r="A638" s="7">
        <v>82</v>
      </c>
      <c r="B638">
        <v>67.857142857142861</v>
      </c>
      <c r="C638" s="7">
        <v>82</v>
      </c>
      <c r="D638">
        <v>67.857142857142861</v>
      </c>
      <c r="E638" s="2">
        <f t="shared" si="38"/>
        <v>193.5</v>
      </c>
      <c r="F638" s="2">
        <f t="shared" si="39"/>
        <v>537</v>
      </c>
      <c r="G638" s="2">
        <f t="shared" si="40"/>
        <v>-343.5</v>
      </c>
      <c r="H638" s="2">
        <f t="shared" si="41"/>
        <v>117992.25</v>
      </c>
    </row>
    <row r="639" spans="1:8" x14ac:dyDescent="0.25">
      <c r="A639" s="7">
        <v>94.594594594594597</v>
      </c>
      <c r="B639">
        <v>87.5</v>
      </c>
      <c r="C639" s="7">
        <v>94.594594594594597</v>
      </c>
      <c r="D639">
        <v>87.5</v>
      </c>
      <c r="E639" s="2">
        <f t="shared" si="38"/>
        <v>431</v>
      </c>
      <c r="F639" s="2">
        <f t="shared" si="39"/>
        <v>753</v>
      </c>
      <c r="G639" s="2">
        <f t="shared" si="40"/>
        <v>-322</v>
      </c>
      <c r="H639" s="2">
        <f t="shared" si="41"/>
        <v>103684</v>
      </c>
    </row>
    <row r="640" spans="1:8" x14ac:dyDescent="0.25">
      <c r="A640" s="7">
        <v>81.818181818181827</v>
      </c>
      <c r="B640">
        <v>62.5</v>
      </c>
      <c r="C640" s="7">
        <v>81.818181818181827</v>
      </c>
      <c r="D640">
        <v>62.5</v>
      </c>
      <c r="E640" s="2">
        <f t="shared" si="38"/>
        <v>191.5</v>
      </c>
      <c r="F640" s="2">
        <f t="shared" si="39"/>
        <v>492</v>
      </c>
      <c r="G640" s="2">
        <f t="shared" si="40"/>
        <v>-300.5</v>
      </c>
      <c r="H640" s="2">
        <f t="shared" si="41"/>
        <v>90300.25</v>
      </c>
    </row>
    <row r="641" spans="1:8" x14ac:dyDescent="0.25">
      <c r="A641" s="7">
        <v>100</v>
      </c>
      <c r="B641">
        <v>60</v>
      </c>
      <c r="C641" s="7">
        <v>100</v>
      </c>
      <c r="D641">
        <v>60</v>
      </c>
      <c r="E641" s="2">
        <f t="shared" si="38"/>
        <v>782</v>
      </c>
      <c r="F641" s="2">
        <f t="shared" si="39"/>
        <v>475.5</v>
      </c>
      <c r="G641" s="2">
        <f t="shared" si="40"/>
        <v>306.5</v>
      </c>
      <c r="H641" s="2">
        <f t="shared" si="41"/>
        <v>93942.25</v>
      </c>
    </row>
    <row r="642" spans="1:8" x14ac:dyDescent="0.25">
      <c r="A642" s="7">
        <v>86.666666666666671</v>
      </c>
      <c r="B642">
        <v>58.620689655172406</v>
      </c>
      <c r="C642" s="7">
        <v>86.666666666666671</v>
      </c>
      <c r="D642">
        <v>58.620689655172406</v>
      </c>
      <c r="E642" s="2">
        <f t="shared" si="38"/>
        <v>258.5</v>
      </c>
      <c r="F642" s="2">
        <f t="shared" si="39"/>
        <v>466</v>
      </c>
      <c r="G642" s="2">
        <f t="shared" si="40"/>
        <v>-207.5</v>
      </c>
      <c r="H642" s="2">
        <f t="shared" si="41"/>
        <v>43056.25</v>
      </c>
    </row>
    <row r="643" spans="1:8" x14ac:dyDescent="0.25">
      <c r="A643" s="7">
        <v>96</v>
      </c>
      <c r="B643">
        <v>93.333333333333329</v>
      </c>
      <c r="C643" s="7">
        <v>96</v>
      </c>
      <c r="D643">
        <v>93.333333333333329</v>
      </c>
      <c r="E643" s="2">
        <f t="shared" ref="E643:E706" si="42">IF(C643="","",_xlfn.RANK.AVG(C643,C$2:C$1003,1))</f>
        <v>472.5</v>
      </c>
      <c r="F643" s="2">
        <f t="shared" ref="F643:F706" si="43">IF(D643="","",_xlfn.RANK.AVG(D643,D$2:D$1003,1))</f>
        <v>839</v>
      </c>
      <c r="G643" s="2">
        <f t="shared" ref="G643:G706" si="44">IF(C643="","",E643-F643)</f>
        <v>-366.5</v>
      </c>
      <c r="H643" s="2">
        <f t="shared" si="41"/>
        <v>134322.25</v>
      </c>
    </row>
    <row r="644" spans="1:8" x14ac:dyDescent="0.25">
      <c r="A644" s="7">
        <v>92.857142857142861</v>
      </c>
      <c r="B644">
        <v>83.146067415730343</v>
      </c>
      <c r="C644" s="7">
        <v>92.857142857142861</v>
      </c>
      <c r="D644">
        <v>83.146067415730343</v>
      </c>
      <c r="E644" s="2">
        <f t="shared" si="42"/>
        <v>400.5</v>
      </c>
      <c r="F644" s="2">
        <f t="shared" si="43"/>
        <v>682</v>
      </c>
      <c r="G644" s="2">
        <f t="shared" si="44"/>
        <v>-281.5</v>
      </c>
      <c r="H644" s="2">
        <f t="shared" si="41"/>
        <v>79242.25</v>
      </c>
    </row>
    <row r="645" spans="1:8" x14ac:dyDescent="0.25">
      <c r="A645" s="7">
        <v>100</v>
      </c>
      <c r="B645">
        <v>0</v>
      </c>
      <c r="C645" s="7">
        <v>100</v>
      </c>
      <c r="D645">
        <v>0</v>
      </c>
      <c r="E645" s="2">
        <f t="shared" si="42"/>
        <v>782</v>
      </c>
      <c r="F645" s="2">
        <f t="shared" si="43"/>
        <v>199.5</v>
      </c>
      <c r="G645" s="2">
        <f t="shared" si="44"/>
        <v>582.5</v>
      </c>
      <c r="H645" s="2">
        <f t="shared" si="41"/>
        <v>339306.25</v>
      </c>
    </row>
    <row r="646" spans="1:8" x14ac:dyDescent="0.25">
      <c r="A646" s="7">
        <v>88.888888888888886</v>
      </c>
      <c r="B646">
        <v>81.92771084337349</v>
      </c>
      <c r="C646" s="7">
        <v>88.888888888888886</v>
      </c>
      <c r="D646">
        <v>81.92771084337349</v>
      </c>
      <c r="E646" s="2">
        <f t="shared" si="42"/>
        <v>298.5</v>
      </c>
      <c r="F646" s="2">
        <f t="shared" si="43"/>
        <v>665</v>
      </c>
      <c r="G646" s="2">
        <f t="shared" si="44"/>
        <v>-366.5</v>
      </c>
      <c r="H646" s="2">
        <f t="shared" si="41"/>
        <v>134322.25</v>
      </c>
    </row>
    <row r="647" spans="1:8" x14ac:dyDescent="0.25">
      <c r="A647" s="7">
        <v>100</v>
      </c>
      <c r="B647">
        <v>0</v>
      </c>
      <c r="C647" s="7">
        <v>100</v>
      </c>
      <c r="D647">
        <v>0</v>
      </c>
      <c r="E647" s="2">
        <f t="shared" si="42"/>
        <v>782</v>
      </c>
      <c r="F647" s="2">
        <f t="shared" si="43"/>
        <v>199.5</v>
      </c>
      <c r="G647" s="2">
        <f t="shared" si="44"/>
        <v>582.5</v>
      </c>
      <c r="H647" s="2">
        <f t="shared" si="41"/>
        <v>339306.25</v>
      </c>
    </row>
    <row r="648" spans="1:8" x14ac:dyDescent="0.25">
      <c r="A648" s="7">
        <v>88</v>
      </c>
      <c r="B648">
        <v>94.444444444444443</v>
      </c>
      <c r="C648" s="7">
        <v>88</v>
      </c>
      <c r="D648">
        <v>94.444444444444443</v>
      </c>
      <c r="E648" s="2">
        <f t="shared" si="42"/>
        <v>286</v>
      </c>
      <c r="F648" s="2">
        <f t="shared" si="43"/>
        <v>855</v>
      </c>
      <c r="G648" s="2">
        <f t="shared" si="44"/>
        <v>-569</v>
      </c>
      <c r="H648" s="2">
        <f t="shared" si="41"/>
        <v>323761</v>
      </c>
    </row>
    <row r="649" spans="1:8" x14ac:dyDescent="0.25">
      <c r="A649" s="7">
        <v>100</v>
      </c>
      <c r="B649">
        <v>0</v>
      </c>
      <c r="C649" s="7">
        <v>100</v>
      </c>
      <c r="D649">
        <v>0</v>
      </c>
      <c r="E649" s="2">
        <f t="shared" si="42"/>
        <v>782</v>
      </c>
      <c r="F649" s="2">
        <f t="shared" si="43"/>
        <v>199.5</v>
      </c>
      <c r="G649" s="2">
        <f t="shared" si="44"/>
        <v>582.5</v>
      </c>
      <c r="H649" s="2">
        <f t="shared" si="41"/>
        <v>339306.25</v>
      </c>
    </row>
    <row r="650" spans="1:8" x14ac:dyDescent="0.25">
      <c r="A650" s="7">
        <v>100</v>
      </c>
      <c r="B650">
        <v>0</v>
      </c>
      <c r="C650" s="7">
        <v>100</v>
      </c>
      <c r="D650">
        <v>0</v>
      </c>
      <c r="E650" s="2">
        <f t="shared" si="42"/>
        <v>782</v>
      </c>
      <c r="F650" s="2">
        <f t="shared" si="43"/>
        <v>199.5</v>
      </c>
      <c r="G650" s="2">
        <f t="shared" si="44"/>
        <v>582.5</v>
      </c>
      <c r="H650" s="2">
        <f t="shared" si="41"/>
        <v>339306.25</v>
      </c>
    </row>
    <row r="651" spans="1:8" x14ac:dyDescent="0.25">
      <c r="A651" s="7">
        <v>90.740740740740748</v>
      </c>
      <c r="B651">
        <v>87.037037037037038</v>
      </c>
      <c r="C651" s="7">
        <v>90.740740740740748</v>
      </c>
      <c r="D651">
        <v>87.037037037037038</v>
      </c>
      <c r="E651" s="2">
        <f t="shared" si="42"/>
        <v>346</v>
      </c>
      <c r="F651" s="2">
        <f t="shared" si="43"/>
        <v>743</v>
      </c>
      <c r="G651" s="2">
        <f t="shared" si="44"/>
        <v>-397</v>
      </c>
      <c r="H651" s="2">
        <f t="shared" si="41"/>
        <v>157609</v>
      </c>
    </row>
    <row r="652" spans="1:8" x14ac:dyDescent="0.25">
      <c r="A652" s="7">
        <v>100</v>
      </c>
      <c r="B652">
        <v>0</v>
      </c>
      <c r="C652" s="7">
        <v>100</v>
      </c>
      <c r="D652">
        <v>0</v>
      </c>
      <c r="E652" s="2">
        <f t="shared" si="42"/>
        <v>782</v>
      </c>
      <c r="F652" s="2">
        <f t="shared" si="43"/>
        <v>199.5</v>
      </c>
      <c r="G652" s="2">
        <f t="shared" si="44"/>
        <v>582.5</v>
      </c>
      <c r="H652" s="2">
        <f t="shared" si="41"/>
        <v>339306.25</v>
      </c>
    </row>
    <row r="653" spans="1:8" x14ac:dyDescent="0.25">
      <c r="A653" s="7">
        <v>100</v>
      </c>
      <c r="B653">
        <v>0</v>
      </c>
      <c r="C653" s="7">
        <v>100</v>
      </c>
      <c r="D653">
        <v>0</v>
      </c>
      <c r="E653" s="2">
        <f t="shared" si="42"/>
        <v>782</v>
      </c>
      <c r="F653" s="2">
        <f t="shared" si="43"/>
        <v>199.5</v>
      </c>
      <c r="G653" s="2">
        <f t="shared" si="44"/>
        <v>582.5</v>
      </c>
      <c r="H653" s="2">
        <f t="shared" si="41"/>
        <v>339306.25</v>
      </c>
    </row>
    <row r="654" spans="1:8" x14ac:dyDescent="0.25">
      <c r="A654" s="7">
        <v>11.25</v>
      </c>
      <c r="B654">
        <v>6.666666666666667</v>
      </c>
      <c r="C654" s="7">
        <v>11.25</v>
      </c>
      <c r="D654">
        <v>6.666666666666667</v>
      </c>
      <c r="E654" s="2">
        <f t="shared" si="42"/>
        <v>40</v>
      </c>
      <c r="F654" s="2">
        <f t="shared" si="43"/>
        <v>399</v>
      </c>
      <c r="G654" s="2">
        <f t="shared" si="44"/>
        <v>-359</v>
      </c>
      <c r="H654" s="2">
        <f t="shared" si="41"/>
        <v>128881</v>
      </c>
    </row>
    <row r="655" spans="1:8" x14ac:dyDescent="0.25">
      <c r="A655" s="7">
        <v>66.666666666666657</v>
      </c>
      <c r="B655">
        <v>62.5</v>
      </c>
      <c r="C655" s="7">
        <v>66.666666666666657</v>
      </c>
      <c r="D655">
        <v>62.5</v>
      </c>
      <c r="E655" s="2">
        <f t="shared" si="42"/>
        <v>106.5</v>
      </c>
      <c r="F655" s="2">
        <f t="shared" si="43"/>
        <v>492</v>
      </c>
      <c r="G655" s="2">
        <f t="shared" si="44"/>
        <v>-385.5</v>
      </c>
      <c r="H655" s="2">
        <f t="shared" si="41"/>
        <v>148610.25</v>
      </c>
    </row>
    <row r="656" spans="1:8" x14ac:dyDescent="0.25">
      <c r="A656" s="7">
        <v>100</v>
      </c>
      <c r="B656">
        <v>0</v>
      </c>
      <c r="C656" s="7">
        <v>100</v>
      </c>
      <c r="D656">
        <v>0</v>
      </c>
      <c r="E656" s="2">
        <f t="shared" si="42"/>
        <v>782</v>
      </c>
      <c r="F656" s="2">
        <f t="shared" si="43"/>
        <v>199.5</v>
      </c>
      <c r="G656" s="2">
        <f t="shared" si="44"/>
        <v>582.5</v>
      </c>
      <c r="H656" s="2">
        <f t="shared" si="41"/>
        <v>339306.25</v>
      </c>
    </row>
    <row r="657" spans="1:8" x14ac:dyDescent="0.25">
      <c r="A657" s="7">
        <v>100</v>
      </c>
      <c r="B657">
        <v>100</v>
      </c>
      <c r="C657" s="7">
        <v>100</v>
      </c>
      <c r="D657">
        <v>100</v>
      </c>
      <c r="E657" s="2">
        <f t="shared" si="42"/>
        <v>782</v>
      </c>
      <c r="F657" s="2">
        <f t="shared" si="43"/>
        <v>943.5</v>
      </c>
      <c r="G657" s="2">
        <f t="shared" si="44"/>
        <v>-161.5</v>
      </c>
      <c r="H657" s="2">
        <f t="shared" si="41"/>
        <v>26082.25</v>
      </c>
    </row>
    <row r="658" spans="1:8" x14ac:dyDescent="0.25">
      <c r="A658" s="7">
        <v>100</v>
      </c>
      <c r="B658">
        <v>71.428571428571431</v>
      </c>
      <c r="C658" s="7">
        <v>100</v>
      </c>
      <c r="D658">
        <v>71.428571428571431</v>
      </c>
      <c r="E658" s="2">
        <f t="shared" si="42"/>
        <v>782</v>
      </c>
      <c r="F658" s="2">
        <f t="shared" si="43"/>
        <v>568</v>
      </c>
      <c r="G658" s="2">
        <f t="shared" si="44"/>
        <v>214</v>
      </c>
      <c r="H658" s="2">
        <f t="shared" si="41"/>
        <v>45796</v>
      </c>
    </row>
    <row r="659" spans="1:8" x14ac:dyDescent="0.25">
      <c r="A659" s="7">
        <v>100</v>
      </c>
      <c r="B659">
        <v>86.666666666666671</v>
      </c>
      <c r="C659" s="7">
        <v>100</v>
      </c>
      <c r="D659">
        <v>86.666666666666671</v>
      </c>
      <c r="E659" s="2">
        <f t="shared" si="42"/>
        <v>782</v>
      </c>
      <c r="F659" s="2">
        <f t="shared" si="43"/>
        <v>738</v>
      </c>
      <c r="G659" s="2">
        <f t="shared" si="44"/>
        <v>44</v>
      </c>
      <c r="H659" s="2">
        <f t="shared" si="41"/>
        <v>1936</v>
      </c>
    </row>
    <row r="660" spans="1:8" x14ac:dyDescent="0.25">
      <c r="A660" s="7">
        <v>100</v>
      </c>
      <c r="B660">
        <v>100</v>
      </c>
      <c r="C660" s="7">
        <v>100</v>
      </c>
      <c r="D660">
        <v>100</v>
      </c>
      <c r="E660" s="2">
        <f t="shared" si="42"/>
        <v>782</v>
      </c>
      <c r="F660" s="2">
        <f t="shared" si="43"/>
        <v>943.5</v>
      </c>
      <c r="G660" s="2">
        <f t="shared" si="44"/>
        <v>-161.5</v>
      </c>
      <c r="H660" s="2">
        <f t="shared" si="41"/>
        <v>26082.25</v>
      </c>
    </row>
    <row r="661" spans="1:8" x14ac:dyDescent="0.25">
      <c r="A661" s="7">
        <v>80</v>
      </c>
      <c r="B661">
        <v>45.454545454545453</v>
      </c>
      <c r="C661" s="7">
        <v>80</v>
      </c>
      <c r="D661">
        <v>45.454545454545453</v>
      </c>
      <c r="E661" s="2">
        <f t="shared" si="42"/>
        <v>179.5</v>
      </c>
      <c r="F661" s="2">
        <f t="shared" si="43"/>
        <v>419.5</v>
      </c>
      <c r="G661" s="2">
        <f t="shared" si="44"/>
        <v>-240</v>
      </c>
      <c r="H661" s="2">
        <f t="shared" si="41"/>
        <v>57600</v>
      </c>
    </row>
    <row r="662" spans="1:8" x14ac:dyDescent="0.25">
      <c r="A662" s="7">
        <v>100</v>
      </c>
      <c r="B662">
        <v>100</v>
      </c>
      <c r="C662" s="7">
        <v>100</v>
      </c>
      <c r="D662">
        <v>100</v>
      </c>
      <c r="E662" s="2">
        <f t="shared" si="42"/>
        <v>782</v>
      </c>
      <c r="F662" s="2">
        <f t="shared" si="43"/>
        <v>943.5</v>
      </c>
      <c r="G662" s="2">
        <f t="shared" si="44"/>
        <v>-161.5</v>
      </c>
      <c r="H662" s="2">
        <f t="shared" si="41"/>
        <v>26082.25</v>
      </c>
    </row>
    <row r="663" spans="1:8" x14ac:dyDescent="0.25">
      <c r="A663" s="7">
        <v>100</v>
      </c>
      <c r="B663">
        <v>0</v>
      </c>
      <c r="C663" s="7">
        <v>100</v>
      </c>
      <c r="D663">
        <v>0</v>
      </c>
      <c r="E663" s="2">
        <f t="shared" si="42"/>
        <v>782</v>
      </c>
      <c r="F663" s="2">
        <f t="shared" si="43"/>
        <v>199.5</v>
      </c>
      <c r="G663" s="2">
        <f t="shared" si="44"/>
        <v>582.5</v>
      </c>
      <c r="H663" s="2">
        <f t="shared" si="41"/>
        <v>339306.25</v>
      </c>
    </row>
    <row r="664" spans="1:8" x14ac:dyDescent="0.25">
      <c r="A664" s="7">
        <v>100</v>
      </c>
      <c r="B664">
        <v>0</v>
      </c>
      <c r="C664" s="7">
        <v>100</v>
      </c>
      <c r="D664">
        <v>0</v>
      </c>
      <c r="E664" s="2">
        <f t="shared" si="42"/>
        <v>782</v>
      </c>
      <c r="F664" s="2">
        <f t="shared" si="43"/>
        <v>199.5</v>
      </c>
      <c r="G664" s="2">
        <f t="shared" si="44"/>
        <v>582.5</v>
      </c>
      <c r="H664" s="2">
        <f t="shared" si="41"/>
        <v>339306.25</v>
      </c>
    </row>
    <row r="665" spans="1:8" x14ac:dyDescent="0.25">
      <c r="A665" s="7">
        <v>100</v>
      </c>
      <c r="B665">
        <v>100</v>
      </c>
      <c r="C665" s="7">
        <v>100</v>
      </c>
      <c r="D665">
        <v>100</v>
      </c>
      <c r="E665" s="2">
        <f t="shared" si="42"/>
        <v>782</v>
      </c>
      <c r="F665" s="2">
        <f t="shared" si="43"/>
        <v>943.5</v>
      </c>
      <c r="G665" s="2">
        <f t="shared" si="44"/>
        <v>-161.5</v>
      </c>
      <c r="H665" s="2">
        <f t="shared" si="41"/>
        <v>26082.25</v>
      </c>
    </row>
    <row r="666" spans="1:8" x14ac:dyDescent="0.25">
      <c r="A666" s="7">
        <v>100</v>
      </c>
      <c r="B666">
        <v>66.666666666666657</v>
      </c>
      <c r="C666" s="7">
        <v>100</v>
      </c>
      <c r="D666">
        <v>66.666666666666657</v>
      </c>
      <c r="E666" s="2">
        <f t="shared" si="42"/>
        <v>782</v>
      </c>
      <c r="F666" s="2">
        <f t="shared" si="43"/>
        <v>519.5</v>
      </c>
      <c r="G666" s="2">
        <f t="shared" si="44"/>
        <v>262.5</v>
      </c>
      <c r="H666" s="2">
        <f t="shared" si="41"/>
        <v>68906.25</v>
      </c>
    </row>
    <row r="667" spans="1:8" x14ac:dyDescent="0.25">
      <c r="A667" s="7">
        <v>0</v>
      </c>
      <c r="B667">
        <v>0</v>
      </c>
      <c r="C667" s="7">
        <v>0</v>
      </c>
      <c r="D667">
        <v>0</v>
      </c>
      <c r="E667" s="2">
        <f t="shared" si="42"/>
        <v>20</v>
      </c>
      <c r="F667" s="2">
        <f t="shared" si="43"/>
        <v>199.5</v>
      </c>
      <c r="G667" s="2">
        <f t="shared" si="44"/>
        <v>-179.5</v>
      </c>
      <c r="H667" s="2">
        <f t="shared" si="41"/>
        <v>32220.25</v>
      </c>
    </row>
    <row r="668" spans="1:8" x14ac:dyDescent="0.25">
      <c r="A668" s="7">
        <v>82.608695652173907</v>
      </c>
      <c r="B668">
        <v>100</v>
      </c>
      <c r="C668" s="7">
        <v>82.608695652173907</v>
      </c>
      <c r="D668">
        <v>100</v>
      </c>
      <c r="E668" s="2">
        <f t="shared" si="42"/>
        <v>198</v>
      </c>
      <c r="F668" s="2">
        <f t="shared" si="43"/>
        <v>943.5</v>
      </c>
      <c r="G668" s="2">
        <f t="shared" si="44"/>
        <v>-745.5</v>
      </c>
      <c r="H668" s="2">
        <f t="shared" si="41"/>
        <v>555770.25</v>
      </c>
    </row>
    <row r="669" spans="1:8" x14ac:dyDescent="0.25">
      <c r="A669" s="7">
        <v>84.615384615384613</v>
      </c>
      <c r="B669">
        <v>0</v>
      </c>
      <c r="C669" s="7">
        <v>84.615384615384613</v>
      </c>
      <c r="D669">
        <v>0</v>
      </c>
      <c r="E669" s="2">
        <f t="shared" si="42"/>
        <v>233</v>
      </c>
      <c r="F669" s="2">
        <f t="shared" si="43"/>
        <v>199.5</v>
      </c>
      <c r="G669" s="2">
        <f t="shared" si="44"/>
        <v>33.5</v>
      </c>
      <c r="H669" s="2">
        <f t="shared" si="41"/>
        <v>1122.25</v>
      </c>
    </row>
    <row r="670" spans="1:8" x14ac:dyDescent="0.25">
      <c r="A670" s="7">
        <v>86.79245283018868</v>
      </c>
      <c r="B670">
        <v>70.629370629370626</v>
      </c>
      <c r="C670" s="7">
        <v>86.79245283018868</v>
      </c>
      <c r="D670">
        <v>70.629370629370626</v>
      </c>
      <c r="E670" s="2">
        <f t="shared" si="42"/>
        <v>264</v>
      </c>
      <c r="F670" s="2">
        <f t="shared" si="43"/>
        <v>558.5</v>
      </c>
      <c r="G670" s="2">
        <f t="shared" si="44"/>
        <v>-294.5</v>
      </c>
      <c r="H670" s="2">
        <f t="shared" si="41"/>
        <v>86730.25</v>
      </c>
    </row>
    <row r="671" spans="1:8" x14ac:dyDescent="0.25">
      <c r="A671" s="7">
        <v>93.333333333333329</v>
      </c>
      <c r="B671">
        <v>89.130434782608688</v>
      </c>
      <c r="C671" s="7">
        <v>93.333333333333329</v>
      </c>
      <c r="D671">
        <v>89.130434782608688</v>
      </c>
      <c r="E671" s="2">
        <f t="shared" si="42"/>
        <v>410</v>
      </c>
      <c r="F671" s="2">
        <f t="shared" si="43"/>
        <v>786.5</v>
      </c>
      <c r="G671" s="2">
        <f t="shared" si="44"/>
        <v>-376.5</v>
      </c>
      <c r="H671" s="2">
        <f t="shared" si="41"/>
        <v>141752.25</v>
      </c>
    </row>
    <row r="672" spans="1:8" x14ac:dyDescent="0.25">
      <c r="A672" s="7">
        <v>100</v>
      </c>
      <c r="B672">
        <v>90.255591054313101</v>
      </c>
      <c r="C672" s="7">
        <v>100</v>
      </c>
      <c r="D672">
        <v>90.255591054313101</v>
      </c>
      <c r="E672" s="2">
        <f t="shared" si="42"/>
        <v>782</v>
      </c>
      <c r="F672" s="2">
        <f t="shared" si="43"/>
        <v>804</v>
      </c>
      <c r="G672" s="2">
        <f t="shared" si="44"/>
        <v>-22</v>
      </c>
      <c r="H672" s="2">
        <f t="shared" si="41"/>
        <v>484</v>
      </c>
    </row>
    <row r="673" spans="1:8" x14ac:dyDescent="0.25">
      <c r="A673" s="7">
        <v>100</v>
      </c>
      <c r="B673">
        <v>88.888888888888886</v>
      </c>
      <c r="C673" s="7">
        <v>100</v>
      </c>
      <c r="D673">
        <v>88.888888888888886</v>
      </c>
      <c r="E673" s="2">
        <f t="shared" si="42"/>
        <v>782</v>
      </c>
      <c r="F673" s="2">
        <f t="shared" si="43"/>
        <v>777.5</v>
      </c>
      <c r="G673" s="2">
        <f t="shared" si="44"/>
        <v>4.5</v>
      </c>
      <c r="H673" s="2">
        <f t="shared" si="41"/>
        <v>20.25</v>
      </c>
    </row>
    <row r="674" spans="1:8" x14ac:dyDescent="0.25">
      <c r="A674" s="7">
        <v>100</v>
      </c>
      <c r="B674">
        <v>0</v>
      </c>
      <c r="C674" s="7">
        <v>100</v>
      </c>
      <c r="D674">
        <v>0</v>
      </c>
      <c r="E674" s="2">
        <f t="shared" si="42"/>
        <v>782</v>
      </c>
      <c r="F674" s="2">
        <f t="shared" si="43"/>
        <v>199.5</v>
      </c>
      <c r="G674" s="2">
        <f t="shared" si="44"/>
        <v>582.5</v>
      </c>
      <c r="H674" s="2">
        <f t="shared" si="41"/>
        <v>339306.25</v>
      </c>
    </row>
    <row r="675" spans="1:8" x14ac:dyDescent="0.25">
      <c r="A675" s="7">
        <v>100</v>
      </c>
      <c r="B675">
        <v>83.333333333333343</v>
      </c>
      <c r="C675" s="7">
        <v>100</v>
      </c>
      <c r="D675">
        <v>83.333333333333343</v>
      </c>
      <c r="E675" s="2">
        <f t="shared" si="42"/>
        <v>782</v>
      </c>
      <c r="F675" s="2">
        <f t="shared" si="43"/>
        <v>687</v>
      </c>
      <c r="G675" s="2">
        <f t="shared" si="44"/>
        <v>95</v>
      </c>
      <c r="H675" s="2">
        <f t="shared" si="41"/>
        <v>9025</v>
      </c>
    </row>
    <row r="676" spans="1:8" x14ac:dyDescent="0.25">
      <c r="A676" s="7">
        <v>36</v>
      </c>
      <c r="B676">
        <v>52.631578947368418</v>
      </c>
      <c r="C676" s="7">
        <v>36</v>
      </c>
      <c r="D676">
        <v>52.631578947368418</v>
      </c>
      <c r="E676" s="2">
        <f t="shared" si="42"/>
        <v>53</v>
      </c>
      <c r="F676" s="2">
        <f t="shared" si="43"/>
        <v>443.5</v>
      </c>
      <c r="G676" s="2">
        <f t="shared" si="44"/>
        <v>-390.5</v>
      </c>
      <c r="H676" s="2">
        <f t="shared" si="41"/>
        <v>152490.25</v>
      </c>
    </row>
    <row r="677" spans="1:8" x14ac:dyDescent="0.25">
      <c r="A677" s="7">
        <v>100</v>
      </c>
      <c r="B677">
        <v>73.68421052631578</v>
      </c>
      <c r="C677" s="7">
        <v>100</v>
      </c>
      <c r="D677">
        <v>73.68421052631578</v>
      </c>
      <c r="E677" s="2">
        <f t="shared" si="42"/>
        <v>782</v>
      </c>
      <c r="F677" s="2">
        <f t="shared" si="43"/>
        <v>596.5</v>
      </c>
      <c r="G677" s="2">
        <f t="shared" si="44"/>
        <v>185.5</v>
      </c>
      <c r="H677" s="2">
        <f t="shared" si="41"/>
        <v>34410.25</v>
      </c>
    </row>
    <row r="678" spans="1:8" x14ac:dyDescent="0.25">
      <c r="A678" s="7">
        <v>100</v>
      </c>
      <c r="B678">
        <v>91.124260355029591</v>
      </c>
      <c r="C678" s="7">
        <v>100</v>
      </c>
      <c r="D678">
        <v>91.124260355029591</v>
      </c>
      <c r="E678" s="2">
        <f t="shared" si="42"/>
        <v>782</v>
      </c>
      <c r="F678" s="2">
        <f t="shared" si="43"/>
        <v>817</v>
      </c>
      <c r="G678" s="2">
        <f t="shared" si="44"/>
        <v>-35</v>
      </c>
      <c r="H678" s="2">
        <f t="shared" si="41"/>
        <v>1225</v>
      </c>
    </row>
    <row r="679" spans="1:8" x14ac:dyDescent="0.25">
      <c r="A679" s="7">
        <v>100</v>
      </c>
      <c r="B679">
        <v>100</v>
      </c>
      <c r="C679" s="7">
        <v>100</v>
      </c>
      <c r="D679">
        <v>100</v>
      </c>
      <c r="E679" s="2">
        <f t="shared" si="42"/>
        <v>782</v>
      </c>
      <c r="F679" s="2">
        <f t="shared" si="43"/>
        <v>943.5</v>
      </c>
      <c r="G679" s="2">
        <f t="shared" si="44"/>
        <v>-161.5</v>
      </c>
      <c r="H679" s="2">
        <f t="shared" si="41"/>
        <v>26082.25</v>
      </c>
    </row>
    <row r="680" spans="1:8" x14ac:dyDescent="0.25">
      <c r="A680" s="7">
        <v>100</v>
      </c>
      <c r="B680">
        <v>0</v>
      </c>
      <c r="C680" s="7">
        <v>100</v>
      </c>
      <c r="D680">
        <v>0</v>
      </c>
      <c r="E680" s="2">
        <f t="shared" si="42"/>
        <v>782</v>
      </c>
      <c r="F680" s="2">
        <f t="shared" si="43"/>
        <v>199.5</v>
      </c>
      <c r="G680" s="2">
        <f t="shared" si="44"/>
        <v>582.5</v>
      </c>
      <c r="H680" s="2">
        <f t="shared" si="41"/>
        <v>339306.25</v>
      </c>
    </row>
    <row r="681" spans="1:8" x14ac:dyDescent="0.25">
      <c r="A681" s="7">
        <v>78.151260504201687</v>
      </c>
      <c r="B681">
        <v>83.870967741935488</v>
      </c>
      <c r="C681" s="7">
        <v>78.151260504201687</v>
      </c>
      <c r="D681">
        <v>83.870967741935488</v>
      </c>
      <c r="E681" s="2">
        <f t="shared" si="42"/>
        <v>165</v>
      </c>
      <c r="F681" s="2">
        <f t="shared" si="43"/>
        <v>694</v>
      </c>
      <c r="G681" s="2">
        <f t="shared" si="44"/>
        <v>-529</v>
      </c>
      <c r="H681" s="2">
        <f t="shared" si="41"/>
        <v>279841</v>
      </c>
    </row>
    <row r="682" spans="1:8" x14ac:dyDescent="0.25">
      <c r="A682" s="7">
        <v>100</v>
      </c>
      <c r="B682">
        <v>0</v>
      </c>
      <c r="C682" s="7">
        <v>100</v>
      </c>
      <c r="D682">
        <v>0</v>
      </c>
      <c r="E682" s="2">
        <f t="shared" si="42"/>
        <v>782</v>
      </c>
      <c r="F682" s="2">
        <f t="shared" si="43"/>
        <v>199.5</v>
      </c>
      <c r="G682" s="2">
        <f t="shared" si="44"/>
        <v>582.5</v>
      </c>
      <c r="H682" s="2">
        <f t="shared" si="41"/>
        <v>339306.25</v>
      </c>
    </row>
    <row r="683" spans="1:8" x14ac:dyDescent="0.25">
      <c r="A683" s="7">
        <v>0</v>
      </c>
      <c r="B683">
        <v>0</v>
      </c>
      <c r="C683" s="7">
        <v>0</v>
      </c>
      <c r="D683">
        <v>0</v>
      </c>
      <c r="E683" s="2">
        <f t="shared" si="42"/>
        <v>20</v>
      </c>
      <c r="F683" s="2">
        <f t="shared" si="43"/>
        <v>199.5</v>
      </c>
      <c r="G683" s="2">
        <f t="shared" si="44"/>
        <v>-179.5</v>
      </c>
      <c r="H683" s="2">
        <f t="shared" si="41"/>
        <v>32220.25</v>
      </c>
    </row>
    <row r="684" spans="1:8" x14ac:dyDescent="0.25">
      <c r="A684" s="7">
        <v>100</v>
      </c>
      <c r="B684">
        <v>100</v>
      </c>
      <c r="C684" s="7">
        <v>100</v>
      </c>
      <c r="D684">
        <v>100</v>
      </c>
      <c r="E684" s="2">
        <f t="shared" si="42"/>
        <v>782</v>
      </c>
      <c r="F684" s="2">
        <f t="shared" si="43"/>
        <v>943.5</v>
      </c>
      <c r="G684" s="2">
        <f t="shared" si="44"/>
        <v>-161.5</v>
      </c>
      <c r="H684" s="2">
        <f t="shared" si="41"/>
        <v>26082.25</v>
      </c>
    </row>
    <row r="685" spans="1:8" x14ac:dyDescent="0.25">
      <c r="A685" s="7">
        <v>100</v>
      </c>
      <c r="B685">
        <v>82.098765432098759</v>
      </c>
      <c r="C685" s="7">
        <v>100</v>
      </c>
      <c r="D685">
        <v>82.098765432098759</v>
      </c>
      <c r="E685" s="2">
        <f t="shared" si="42"/>
        <v>782</v>
      </c>
      <c r="F685" s="2">
        <f t="shared" si="43"/>
        <v>668</v>
      </c>
      <c r="G685" s="2">
        <f t="shared" si="44"/>
        <v>114</v>
      </c>
      <c r="H685" s="2">
        <f t="shared" si="41"/>
        <v>12996</v>
      </c>
    </row>
    <row r="686" spans="1:8" x14ac:dyDescent="0.25">
      <c r="A686" s="7">
        <v>100</v>
      </c>
      <c r="B686">
        <v>0</v>
      </c>
      <c r="C686" s="7">
        <v>100</v>
      </c>
      <c r="D686">
        <v>0</v>
      </c>
      <c r="E686" s="2">
        <f t="shared" si="42"/>
        <v>782</v>
      </c>
      <c r="F686" s="2">
        <f t="shared" si="43"/>
        <v>199.5</v>
      </c>
      <c r="G686" s="2">
        <f t="shared" si="44"/>
        <v>582.5</v>
      </c>
      <c r="H686" s="2">
        <f t="shared" si="41"/>
        <v>339306.25</v>
      </c>
    </row>
    <row r="687" spans="1:8" x14ac:dyDescent="0.25">
      <c r="A687" s="7">
        <v>92.982456140350877</v>
      </c>
      <c r="B687">
        <v>64.583333333333343</v>
      </c>
      <c r="C687" s="7">
        <v>92.982456140350877</v>
      </c>
      <c r="D687">
        <v>64.583333333333343</v>
      </c>
      <c r="E687" s="2">
        <f t="shared" si="42"/>
        <v>405</v>
      </c>
      <c r="F687" s="2">
        <f t="shared" si="43"/>
        <v>504</v>
      </c>
      <c r="G687" s="2">
        <f t="shared" si="44"/>
        <v>-99</v>
      </c>
      <c r="H687" s="2">
        <f t="shared" si="41"/>
        <v>9801</v>
      </c>
    </row>
    <row r="688" spans="1:8" x14ac:dyDescent="0.25">
      <c r="A688" s="7">
        <v>100</v>
      </c>
      <c r="B688">
        <v>97.058823529411768</v>
      </c>
      <c r="C688" s="7">
        <v>100</v>
      </c>
      <c r="D688">
        <v>97.058823529411768</v>
      </c>
      <c r="E688" s="2">
        <f t="shared" si="42"/>
        <v>782</v>
      </c>
      <c r="F688" s="2">
        <f t="shared" si="43"/>
        <v>872</v>
      </c>
      <c r="G688" s="2">
        <f t="shared" si="44"/>
        <v>-90</v>
      </c>
      <c r="H688" s="2">
        <f t="shared" si="41"/>
        <v>8100</v>
      </c>
    </row>
    <row r="689" spans="1:8" x14ac:dyDescent="0.25">
      <c r="A689" s="7">
        <v>0</v>
      </c>
      <c r="B689">
        <v>0</v>
      </c>
      <c r="C689" s="7">
        <v>0</v>
      </c>
      <c r="D689">
        <v>0</v>
      </c>
      <c r="E689" s="2">
        <f t="shared" si="42"/>
        <v>20</v>
      </c>
      <c r="F689" s="2">
        <f t="shared" si="43"/>
        <v>199.5</v>
      </c>
      <c r="G689" s="2">
        <f t="shared" si="44"/>
        <v>-179.5</v>
      </c>
      <c r="H689" s="2">
        <f t="shared" si="41"/>
        <v>32220.25</v>
      </c>
    </row>
    <row r="690" spans="1:8" x14ac:dyDescent="0.25">
      <c r="A690" s="7">
        <v>100</v>
      </c>
      <c r="B690">
        <v>0</v>
      </c>
      <c r="C690" s="7">
        <v>100</v>
      </c>
      <c r="D690">
        <v>0</v>
      </c>
      <c r="E690" s="2">
        <f t="shared" si="42"/>
        <v>782</v>
      </c>
      <c r="F690" s="2">
        <f t="shared" si="43"/>
        <v>199.5</v>
      </c>
      <c r="G690" s="2">
        <f t="shared" si="44"/>
        <v>582.5</v>
      </c>
      <c r="H690" s="2">
        <f t="shared" si="41"/>
        <v>339306.25</v>
      </c>
    </row>
    <row r="691" spans="1:8" x14ac:dyDescent="0.25">
      <c r="A691" s="7">
        <v>100</v>
      </c>
      <c r="B691">
        <v>0</v>
      </c>
      <c r="C691" s="7">
        <v>100</v>
      </c>
      <c r="D691">
        <v>0</v>
      </c>
      <c r="E691" s="2">
        <f t="shared" si="42"/>
        <v>782</v>
      </c>
      <c r="F691" s="2">
        <f t="shared" si="43"/>
        <v>199.5</v>
      </c>
      <c r="G691" s="2">
        <f t="shared" si="44"/>
        <v>582.5</v>
      </c>
      <c r="H691" s="2">
        <f t="shared" si="41"/>
        <v>339306.25</v>
      </c>
    </row>
    <row r="692" spans="1:8" x14ac:dyDescent="0.25">
      <c r="A692" s="7">
        <v>90.476190476190482</v>
      </c>
      <c r="B692">
        <v>79.2</v>
      </c>
      <c r="C692" s="7">
        <v>90.476190476190482</v>
      </c>
      <c r="D692">
        <v>79.2</v>
      </c>
      <c r="E692" s="2">
        <f t="shared" si="42"/>
        <v>339.5</v>
      </c>
      <c r="F692" s="2">
        <f t="shared" si="43"/>
        <v>644</v>
      </c>
      <c r="G692" s="2">
        <f t="shared" si="44"/>
        <v>-304.5</v>
      </c>
      <c r="H692" s="2">
        <f t="shared" si="41"/>
        <v>92720.25</v>
      </c>
    </row>
    <row r="693" spans="1:8" x14ac:dyDescent="0.25">
      <c r="A693" s="7">
        <v>0</v>
      </c>
      <c r="B693">
        <v>0</v>
      </c>
      <c r="C693" s="7">
        <v>0</v>
      </c>
      <c r="D693">
        <v>0</v>
      </c>
      <c r="E693" s="2">
        <f t="shared" si="42"/>
        <v>20</v>
      </c>
      <c r="F693" s="2">
        <f t="shared" si="43"/>
        <v>199.5</v>
      </c>
      <c r="G693" s="2">
        <f t="shared" si="44"/>
        <v>-179.5</v>
      </c>
      <c r="H693" s="2">
        <f t="shared" si="41"/>
        <v>32220.25</v>
      </c>
    </row>
    <row r="694" spans="1:8" x14ac:dyDescent="0.25">
      <c r="A694" s="7">
        <v>100</v>
      </c>
      <c r="B694">
        <v>100</v>
      </c>
      <c r="C694" s="7">
        <v>100</v>
      </c>
      <c r="D694">
        <v>100</v>
      </c>
      <c r="E694" s="2">
        <f t="shared" si="42"/>
        <v>782</v>
      </c>
      <c r="F694" s="2">
        <f t="shared" si="43"/>
        <v>943.5</v>
      </c>
      <c r="G694" s="2">
        <f t="shared" si="44"/>
        <v>-161.5</v>
      </c>
      <c r="H694" s="2">
        <f t="shared" si="41"/>
        <v>26082.25</v>
      </c>
    </row>
    <row r="695" spans="1:8" x14ac:dyDescent="0.25">
      <c r="A695" s="7">
        <v>100</v>
      </c>
      <c r="B695">
        <v>100</v>
      </c>
      <c r="C695" s="7">
        <v>100</v>
      </c>
      <c r="D695">
        <v>100</v>
      </c>
      <c r="E695" s="2">
        <f t="shared" si="42"/>
        <v>782</v>
      </c>
      <c r="F695" s="2">
        <f t="shared" si="43"/>
        <v>943.5</v>
      </c>
      <c r="G695" s="2">
        <f t="shared" si="44"/>
        <v>-161.5</v>
      </c>
      <c r="H695" s="2">
        <f t="shared" si="41"/>
        <v>26082.25</v>
      </c>
    </row>
    <row r="696" spans="1:8" x14ac:dyDescent="0.25">
      <c r="A696" s="7">
        <v>100</v>
      </c>
      <c r="B696">
        <v>100</v>
      </c>
      <c r="C696" s="7">
        <v>100</v>
      </c>
      <c r="D696">
        <v>100</v>
      </c>
      <c r="E696" s="2">
        <f t="shared" si="42"/>
        <v>782</v>
      </c>
      <c r="F696" s="2">
        <f t="shared" si="43"/>
        <v>943.5</v>
      </c>
      <c r="G696" s="2">
        <f t="shared" si="44"/>
        <v>-161.5</v>
      </c>
      <c r="H696" s="2">
        <f t="shared" si="41"/>
        <v>26082.25</v>
      </c>
    </row>
    <row r="697" spans="1:8" x14ac:dyDescent="0.25">
      <c r="A697" s="7">
        <v>66.666666666666657</v>
      </c>
      <c r="B697">
        <v>0</v>
      </c>
      <c r="C697" s="7">
        <v>66.666666666666657</v>
      </c>
      <c r="D697">
        <v>0</v>
      </c>
      <c r="E697" s="2">
        <f t="shared" si="42"/>
        <v>106.5</v>
      </c>
      <c r="F697" s="2">
        <f t="shared" si="43"/>
        <v>199.5</v>
      </c>
      <c r="G697" s="2">
        <f t="shared" si="44"/>
        <v>-93</v>
      </c>
      <c r="H697" s="2">
        <f t="shared" ref="H697:H760" si="45">IF(C697="","",G697^2)</f>
        <v>8649</v>
      </c>
    </row>
    <row r="698" spans="1:8" x14ac:dyDescent="0.25">
      <c r="A698" s="7">
        <v>66.666666666666657</v>
      </c>
      <c r="B698">
        <v>0</v>
      </c>
      <c r="C698" s="7">
        <v>66.666666666666657</v>
      </c>
      <c r="D698">
        <v>0</v>
      </c>
      <c r="E698" s="2">
        <f t="shared" si="42"/>
        <v>106.5</v>
      </c>
      <c r="F698" s="2">
        <f t="shared" si="43"/>
        <v>199.5</v>
      </c>
      <c r="G698" s="2">
        <f t="shared" si="44"/>
        <v>-93</v>
      </c>
      <c r="H698" s="2">
        <f t="shared" si="45"/>
        <v>8649</v>
      </c>
    </row>
    <row r="699" spans="1:8" x14ac:dyDescent="0.25">
      <c r="A699" s="7">
        <v>90.909090909090907</v>
      </c>
      <c r="B699">
        <v>60</v>
      </c>
      <c r="C699" s="7">
        <v>90.909090909090907</v>
      </c>
      <c r="D699">
        <v>60</v>
      </c>
      <c r="E699" s="2">
        <f t="shared" si="42"/>
        <v>349</v>
      </c>
      <c r="F699" s="2">
        <f t="shared" si="43"/>
        <v>475.5</v>
      </c>
      <c r="G699" s="2">
        <f t="shared" si="44"/>
        <v>-126.5</v>
      </c>
      <c r="H699" s="2">
        <f t="shared" si="45"/>
        <v>16002.25</v>
      </c>
    </row>
    <row r="700" spans="1:8" x14ac:dyDescent="0.25">
      <c r="A700" s="7">
        <v>100</v>
      </c>
      <c r="B700">
        <v>0</v>
      </c>
      <c r="C700" s="7">
        <v>100</v>
      </c>
      <c r="D700">
        <v>0</v>
      </c>
      <c r="E700" s="2">
        <f t="shared" si="42"/>
        <v>782</v>
      </c>
      <c r="F700" s="2">
        <f t="shared" si="43"/>
        <v>199.5</v>
      </c>
      <c r="G700" s="2">
        <f t="shared" si="44"/>
        <v>582.5</v>
      </c>
      <c r="H700" s="2">
        <f t="shared" si="45"/>
        <v>339306.25</v>
      </c>
    </row>
    <row r="701" spans="1:8" x14ac:dyDescent="0.25">
      <c r="A701" s="7">
        <v>50</v>
      </c>
      <c r="B701">
        <v>0</v>
      </c>
      <c r="C701" s="7">
        <v>50</v>
      </c>
      <c r="D701">
        <v>0</v>
      </c>
      <c r="E701" s="2">
        <f t="shared" si="42"/>
        <v>69</v>
      </c>
      <c r="F701" s="2">
        <f t="shared" si="43"/>
        <v>199.5</v>
      </c>
      <c r="G701" s="2">
        <f t="shared" si="44"/>
        <v>-130.5</v>
      </c>
      <c r="H701" s="2">
        <f t="shared" si="45"/>
        <v>17030.25</v>
      </c>
    </row>
    <row r="702" spans="1:8" x14ac:dyDescent="0.25">
      <c r="A702" s="7">
        <v>0</v>
      </c>
      <c r="B702">
        <v>0</v>
      </c>
      <c r="C702" s="7">
        <v>0</v>
      </c>
      <c r="D702">
        <v>0</v>
      </c>
      <c r="E702" s="2">
        <f t="shared" si="42"/>
        <v>20</v>
      </c>
      <c r="F702" s="2">
        <f t="shared" si="43"/>
        <v>199.5</v>
      </c>
      <c r="G702" s="2">
        <f t="shared" si="44"/>
        <v>-179.5</v>
      </c>
      <c r="H702" s="2">
        <f t="shared" si="45"/>
        <v>32220.25</v>
      </c>
    </row>
    <row r="703" spans="1:8" x14ac:dyDescent="0.25">
      <c r="A703" s="7">
        <v>100</v>
      </c>
      <c r="B703">
        <v>0</v>
      </c>
      <c r="C703" s="7">
        <v>100</v>
      </c>
      <c r="D703">
        <v>0</v>
      </c>
      <c r="E703" s="2">
        <f t="shared" si="42"/>
        <v>782</v>
      </c>
      <c r="F703" s="2">
        <f t="shared" si="43"/>
        <v>199.5</v>
      </c>
      <c r="G703" s="2">
        <f t="shared" si="44"/>
        <v>582.5</v>
      </c>
      <c r="H703" s="2">
        <f t="shared" si="45"/>
        <v>339306.25</v>
      </c>
    </row>
    <row r="704" spans="1:8" x14ac:dyDescent="0.25">
      <c r="A704" s="7">
        <v>100</v>
      </c>
      <c r="B704">
        <v>0</v>
      </c>
      <c r="C704" s="7">
        <v>100</v>
      </c>
      <c r="D704">
        <v>0</v>
      </c>
      <c r="E704" s="2">
        <f t="shared" si="42"/>
        <v>782</v>
      </c>
      <c r="F704" s="2">
        <f t="shared" si="43"/>
        <v>199.5</v>
      </c>
      <c r="G704" s="2">
        <f t="shared" si="44"/>
        <v>582.5</v>
      </c>
      <c r="H704" s="2">
        <f t="shared" si="45"/>
        <v>339306.25</v>
      </c>
    </row>
    <row r="705" spans="1:8" x14ac:dyDescent="0.25">
      <c r="A705" s="7">
        <v>100</v>
      </c>
      <c r="B705">
        <v>0</v>
      </c>
      <c r="C705" s="7">
        <v>100</v>
      </c>
      <c r="D705">
        <v>0</v>
      </c>
      <c r="E705" s="2">
        <f t="shared" si="42"/>
        <v>782</v>
      </c>
      <c r="F705" s="2">
        <f t="shared" si="43"/>
        <v>199.5</v>
      </c>
      <c r="G705" s="2">
        <f t="shared" si="44"/>
        <v>582.5</v>
      </c>
      <c r="H705" s="2">
        <f t="shared" si="45"/>
        <v>339306.25</v>
      </c>
    </row>
    <row r="706" spans="1:8" x14ac:dyDescent="0.25">
      <c r="A706" s="7">
        <v>100</v>
      </c>
      <c r="B706">
        <v>0</v>
      </c>
      <c r="C706" s="7">
        <v>100</v>
      </c>
      <c r="D706">
        <v>0</v>
      </c>
      <c r="E706" s="2">
        <f t="shared" si="42"/>
        <v>782</v>
      </c>
      <c r="F706" s="2">
        <f t="shared" si="43"/>
        <v>199.5</v>
      </c>
      <c r="G706" s="2">
        <f t="shared" si="44"/>
        <v>582.5</v>
      </c>
      <c r="H706" s="2">
        <f t="shared" si="45"/>
        <v>339306.25</v>
      </c>
    </row>
    <row r="707" spans="1:8" x14ac:dyDescent="0.25">
      <c r="A707" s="7">
        <v>100</v>
      </c>
      <c r="B707">
        <v>66.666666666666657</v>
      </c>
      <c r="C707" s="7">
        <v>100</v>
      </c>
      <c r="D707">
        <v>66.666666666666657</v>
      </c>
      <c r="E707" s="2">
        <f t="shared" ref="E707:E770" si="46">IF(C707="","",_xlfn.RANK.AVG(C707,C$2:C$1003,1))</f>
        <v>782</v>
      </c>
      <c r="F707" s="2">
        <f t="shared" ref="F707:F770" si="47">IF(D707="","",_xlfn.RANK.AVG(D707,D$2:D$1003,1))</f>
        <v>519.5</v>
      </c>
      <c r="G707" s="2">
        <f t="shared" ref="G707:G770" si="48">IF(C707="","",E707-F707)</f>
        <v>262.5</v>
      </c>
      <c r="H707" s="2">
        <f t="shared" si="45"/>
        <v>68906.25</v>
      </c>
    </row>
    <row r="708" spans="1:8" x14ac:dyDescent="0.25">
      <c r="A708" s="7">
        <v>60</v>
      </c>
      <c r="B708">
        <v>50</v>
      </c>
      <c r="C708" s="7">
        <v>60</v>
      </c>
      <c r="D708">
        <v>50</v>
      </c>
      <c r="E708" s="2">
        <f t="shared" si="46"/>
        <v>88.5</v>
      </c>
      <c r="F708" s="2">
        <f t="shared" si="47"/>
        <v>430.5</v>
      </c>
      <c r="G708" s="2">
        <f t="shared" si="48"/>
        <v>-342</v>
      </c>
      <c r="H708" s="2">
        <f t="shared" si="45"/>
        <v>116964</v>
      </c>
    </row>
    <row r="709" spans="1:8" x14ac:dyDescent="0.25">
      <c r="A709" s="7">
        <v>85.714285714285708</v>
      </c>
      <c r="B709">
        <v>25</v>
      </c>
      <c r="C709" s="7">
        <v>85.714285714285708</v>
      </c>
      <c r="D709">
        <v>25</v>
      </c>
      <c r="E709" s="2">
        <f t="shared" si="46"/>
        <v>243</v>
      </c>
      <c r="F709" s="2">
        <f t="shared" si="47"/>
        <v>401.5</v>
      </c>
      <c r="G709" s="2">
        <f t="shared" si="48"/>
        <v>-158.5</v>
      </c>
      <c r="H709" s="2">
        <f t="shared" si="45"/>
        <v>25122.25</v>
      </c>
    </row>
    <row r="710" spans="1:8" x14ac:dyDescent="0.25">
      <c r="A710" s="7">
        <v>100</v>
      </c>
      <c r="B710">
        <v>50</v>
      </c>
      <c r="C710" s="7">
        <v>100</v>
      </c>
      <c r="D710">
        <v>50</v>
      </c>
      <c r="E710" s="2">
        <f t="shared" si="46"/>
        <v>782</v>
      </c>
      <c r="F710" s="2">
        <f t="shared" si="47"/>
        <v>430.5</v>
      </c>
      <c r="G710" s="2">
        <f t="shared" si="48"/>
        <v>351.5</v>
      </c>
      <c r="H710" s="2">
        <f t="shared" si="45"/>
        <v>123552.25</v>
      </c>
    </row>
    <row r="711" spans="1:8" x14ac:dyDescent="0.25">
      <c r="A711" s="7">
        <v>100</v>
      </c>
      <c r="B711">
        <v>0</v>
      </c>
      <c r="C711" s="7">
        <v>100</v>
      </c>
      <c r="D711">
        <v>0</v>
      </c>
      <c r="E711" s="2">
        <f t="shared" si="46"/>
        <v>782</v>
      </c>
      <c r="F711" s="2">
        <f t="shared" si="47"/>
        <v>199.5</v>
      </c>
      <c r="G711" s="2">
        <f t="shared" si="48"/>
        <v>582.5</v>
      </c>
      <c r="H711" s="2">
        <f t="shared" si="45"/>
        <v>339306.25</v>
      </c>
    </row>
    <row r="712" spans="1:8" x14ac:dyDescent="0.25">
      <c r="A712" s="7">
        <v>100</v>
      </c>
      <c r="B712">
        <v>0</v>
      </c>
      <c r="C712" s="7">
        <v>100</v>
      </c>
      <c r="D712">
        <v>0</v>
      </c>
      <c r="E712" s="2">
        <f t="shared" si="46"/>
        <v>782</v>
      </c>
      <c r="F712" s="2">
        <f t="shared" si="47"/>
        <v>199.5</v>
      </c>
      <c r="G712" s="2">
        <f t="shared" si="48"/>
        <v>582.5</v>
      </c>
      <c r="H712" s="2">
        <f t="shared" si="45"/>
        <v>339306.25</v>
      </c>
    </row>
    <row r="713" spans="1:8" x14ac:dyDescent="0.25">
      <c r="A713" s="7">
        <v>100</v>
      </c>
      <c r="B713">
        <v>0</v>
      </c>
      <c r="C713" s="7">
        <v>100</v>
      </c>
      <c r="D713">
        <v>0</v>
      </c>
      <c r="E713" s="2">
        <f t="shared" si="46"/>
        <v>782</v>
      </c>
      <c r="F713" s="2">
        <f t="shared" si="47"/>
        <v>199.5</v>
      </c>
      <c r="G713" s="2">
        <f t="shared" si="48"/>
        <v>582.5</v>
      </c>
      <c r="H713" s="2">
        <f t="shared" si="45"/>
        <v>339306.25</v>
      </c>
    </row>
    <row r="714" spans="1:8" x14ac:dyDescent="0.25">
      <c r="A714" s="7">
        <v>100</v>
      </c>
      <c r="B714">
        <v>0</v>
      </c>
      <c r="C714" s="7">
        <v>100</v>
      </c>
      <c r="D714">
        <v>0</v>
      </c>
      <c r="E714" s="2">
        <f t="shared" si="46"/>
        <v>782</v>
      </c>
      <c r="F714" s="2">
        <f t="shared" si="47"/>
        <v>199.5</v>
      </c>
      <c r="G714" s="2">
        <f t="shared" si="48"/>
        <v>582.5</v>
      </c>
      <c r="H714" s="2">
        <f t="shared" si="45"/>
        <v>339306.25</v>
      </c>
    </row>
    <row r="715" spans="1:8" x14ac:dyDescent="0.25">
      <c r="A715" s="7">
        <v>0</v>
      </c>
      <c r="B715">
        <v>0</v>
      </c>
      <c r="C715" s="7">
        <v>0</v>
      </c>
      <c r="D715">
        <v>0</v>
      </c>
      <c r="E715" s="2">
        <f t="shared" si="46"/>
        <v>20</v>
      </c>
      <c r="F715" s="2">
        <f t="shared" si="47"/>
        <v>199.5</v>
      </c>
      <c r="G715" s="2">
        <f t="shared" si="48"/>
        <v>-179.5</v>
      </c>
      <c r="H715" s="2">
        <f t="shared" si="45"/>
        <v>32220.25</v>
      </c>
    </row>
    <row r="716" spans="1:8" x14ac:dyDescent="0.25">
      <c r="A716" s="7">
        <v>61.53846153846154</v>
      </c>
      <c r="B716">
        <v>40</v>
      </c>
      <c r="C716" s="7">
        <v>61.53846153846154</v>
      </c>
      <c r="D716">
        <v>40</v>
      </c>
      <c r="E716" s="2">
        <f t="shared" si="46"/>
        <v>97</v>
      </c>
      <c r="F716" s="2">
        <f t="shared" si="47"/>
        <v>413.5</v>
      </c>
      <c r="G716" s="2">
        <f t="shared" si="48"/>
        <v>-316.5</v>
      </c>
      <c r="H716" s="2">
        <f t="shared" si="45"/>
        <v>100172.25</v>
      </c>
    </row>
    <row r="717" spans="1:8" x14ac:dyDescent="0.25">
      <c r="A717" s="7">
        <v>100</v>
      </c>
      <c r="B717">
        <v>66.666666666666657</v>
      </c>
      <c r="C717" s="7">
        <v>100</v>
      </c>
      <c r="D717">
        <v>66.666666666666657</v>
      </c>
      <c r="E717" s="2">
        <f t="shared" si="46"/>
        <v>782</v>
      </c>
      <c r="F717" s="2">
        <f t="shared" si="47"/>
        <v>519.5</v>
      </c>
      <c r="G717" s="2">
        <f t="shared" si="48"/>
        <v>262.5</v>
      </c>
      <c r="H717" s="2">
        <f t="shared" si="45"/>
        <v>68906.25</v>
      </c>
    </row>
    <row r="718" spans="1:8" x14ac:dyDescent="0.25">
      <c r="A718" s="7">
        <v>100</v>
      </c>
      <c r="B718">
        <v>0</v>
      </c>
      <c r="C718" s="7">
        <v>100</v>
      </c>
      <c r="D718">
        <v>0</v>
      </c>
      <c r="E718" s="2">
        <f t="shared" si="46"/>
        <v>782</v>
      </c>
      <c r="F718" s="2">
        <f t="shared" si="47"/>
        <v>199.5</v>
      </c>
      <c r="G718" s="2">
        <f t="shared" si="48"/>
        <v>582.5</v>
      </c>
      <c r="H718" s="2">
        <f t="shared" si="45"/>
        <v>339306.25</v>
      </c>
    </row>
    <row r="719" spans="1:8" x14ac:dyDescent="0.25">
      <c r="A719" s="7">
        <v>100</v>
      </c>
      <c r="B719">
        <v>0</v>
      </c>
      <c r="C719" s="7">
        <v>100</v>
      </c>
      <c r="D719">
        <v>0</v>
      </c>
      <c r="E719" s="2">
        <f t="shared" si="46"/>
        <v>782</v>
      </c>
      <c r="F719" s="2">
        <f t="shared" si="47"/>
        <v>199.5</v>
      </c>
      <c r="G719" s="2">
        <f t="shared" si="48"/>
        <v>582.5</v>
      </c>
      <c r="H719" s="2">
        <f t="shared" si="45"/>
        <v>339306.25</v>
      </c>
    </row>
    <row r="720" spans="1:8" x14ac:dyDescent="0.25">
      <c r="A720" s="7">
        <v>100</v>
      </c>
      <c r="B720">
        <v>100</v>
      </c>
      <c r="C720" s="7">
        <v>100</v>
      </c>
      <c r="D720">
        <v>100</v>
      </c>
      <c r="E720" s="2">
        <f t="shared" si="46"/>
        <v>782</v>
      </c>
      <c r="F720" s="2">
        <f t="shared" si="47"/>
        <v>943.5</v>
      </c>
      <c r="G720" s="2">
        <f t="shared" si="48"/>
        <v>-161.5</v>
      </c>
      <c r="H720" s="2">
        <f t="shared" si="45"/>
        <v>26082.25</v>
      </c>
    </row>
    <row r="721" spans="1:8" x14ac:dyDescent="0.25">
      <c r="A721" s="7">
        <v>96.286472148541108</v>
      </c>
      <c r="B721">
        <v>87.185929648241199</v>
      </c>
      <c r="C721" s="7">
        <v>96.286472148541108</v>
      </c>
      <c r="D721">
        <v>87.185929648241199</v>
      </c>
      <c r="E721" s="2">
        <f t="shared" si="46"/>
        <v>481</v>
      </c>
      <c r="F721" s="2">
        <f t="shared" si="47"/>
        <v>748</v>
      </c>
      <c r="G721" s="2">
        <f t="shared" si="48"/>
        <v>-267</v>
      </c>
      <c r="H721" s="2">
        <f t="shared" si="45"/>
        <v>71289</v>
      </c>
    </row>
    <row r="722" spans="1:8" x14ac:dyDescent="0.25">
      <c r="A722" s="7">
        <v>95.348837209302332</v>
      </c>
      <c r="B722">
        <v>84.337349397590373</v>
      </c>
      <c r="C722" s="7">
        <v>95.348837209302332</v>
      </c>
      <c r="D722">
        <v>84.337349397590373</v>
      </c>
      <c r="E722" s="2">
        <f t="shared" si="46"/>
        <v>450.5</v>
      </c>
      <c r="F722" s="2">
        <f t="shared" si="47"/>
        <v>701.5</v>
      </c>
      <c r="G722" s="2">
        <f t="shared" si="48"/>
        <v>-251</v>
      </c>
      <c r="H722" s="2">
        <f t="shared" si="45"/>
        <v>63001</v>
      </c>
    </row>
    <row r="723" spans="1:8" x14ac:dyDescent="0.25">
      <c r="A723" s="7">
        <v>96.721311475409834</v>
      </c>
      <c r="B723">
        <v>93.45794392523365</v>
      </c>
      <c r="C723" s="7">
        <v>96.721311475409834</v>
      </c>
      <c r="D723">
        <v>93.45794392523365</v>
      </c>
      <c r="E723" s="2">
        <f t="shared" si="46"/>
        <v>495.5</v>
      </c>
      <c r="F723" s="2">
        <f t="shared" si="47"/>
        <v>844</v>
      </c>
      <c r="G723" s="2">
        <f t="shared" si="48"/>
        <v>-348.5</v>
      </c>
      <c r="H723" s="2">
        <f t="shared" si="45"/>
        <v>121452.25</v>
      </c>
    </row>
    <row r="724" spans="1:8" x14ac:dyDescent="0.25">
      <c r="A724" s="7">
        <v>60</v>
      </c>
      <c r="B724">
        <v>0</v>
      </c>
      <c r="C724" s="7">
        <v>60</v>
      </c>
      <c r="D724">
        <v>0</v>
      </c>
      <c r="E724" s="2">
        <f t="shared" si="46"/>
        <v>88.5</v>
      </c>
      <c r="F724" s="2">
        <f t="shared" si="47"/>
        <v>199.5</v>
      </c>
      <c r="G724" s="2">
        <f t="shared" si="48"/>
        <v>-111</v>
      </c>
      <c r="H724" s="2">
        <f t="shared" si="45"/>
        <v>12321</v>
      </c>
    </row>
    <row r="725" spans="1:8" x14ac:dyDescent="0.25">
      <c r="A725" s="7">
        <v>97.297297297297305</v>
      </c>
      <c r="B725">
        <v>84.403669724770651</v>
      </c>
      <c r="C725" s="7">
        <v>97.297297297297305</v>
      </c>
      <c r="D725">
        <v>84.403669724770651</v>
      </c>
      <c r="E725" s="2">
        <f t="shared" si="46"/>
        <v>507</v>
      </c>
      <c r="F725" s="2">
        <f t="shared" si="47"/>
        <v>703</v>
      </c>
      <c r="G725" s="2">
        <f t="shared" si="48"/>
        <v>-196</v>
      </c>
      <c r="H725" s="2">
        <f t="shared" si="45"/>
        <v>38416</v>
      </c>
    </row>
    <row r="726" spans="1:8" x14ac:dyDescent="0.25">
      <c r="A726" s="7">
        <v>100</v>
      </c>
      <c r="B726">
        <v>77.777777777777786</v>
      </c>
      <c r="C726" s="7">
        <v>100</v>
      </c>
      <c r="D726">
        <v>77.777777777777786</v>
      </c>
      <c r="E726" s="2">
        <f t="shared" si="46"/>
        <v>782</v>
      </c>
      <c r="F726" s="2">
        <f t="shared" si="47"/>
        <v>631</v>
      </c>
      <c r="G726" s="2">
        <f t="shared" si="48"/>
        <v>151</v>
      </c>
      <c r="H726" s="2">
        <f t="shared" si="45"/>
        <v>22801</v>
      </c>
    </row>
    <row r="727" spans="1:8" x14ac:dyDescent="0.25">
      <c r="A727" s="7">
        <v>92.156862745098039</v>
      </c>
      <c r="B727">
        <v>47.5</v>
      </c>
      <c r="C727" s="7">
        <v>92.156862745098039</v>
      </c>
      <c r="D727">
        <v>47.5</v>
      </c>
      <c r="E727" s="2">
        <f t="shared" si="46"/>
        <v>385</v>
      </c>
      <c r="F727" s="2">
        <f t="shared" si="47"/>
        <v>422</v>
      </c>
      <c r="G727" s="2">
        <f t="shared" si="48"/>
        <v>-37</v>
      </c>
      <c r="H727" s="2">
        <f t="shared" si="45"/>
        <v>1369</v>
      </c>
    </row>
    <row r="728" spans="1:8" x14ac:dyDescent="0.25">
      <c r="A728" s="7">
        <v>75</v>
      </c>
      <c r="B728">
        <v>75</v>
      </c>
      <c r="C728" s="7">
        <v>75</v>
      </c>
      <c r="D728">
        <v>75</v>
      </c>
      <c r="E728" s="2">
        <f t="shared" si="46"/>
        <v>139</v>
      </c>
      <c r="F728" s="2">
        <f t="shared" si="47"/>
        <v>610</v>
      </c>
      <c r="G728" s="2">
        <f t="shared" si="48"/>
        <v>-471</v>
      </c>
      <c r="H728" s="2">
        <f t="shared" si="45"/>
        <v>221841</v>
      </c>
    </row>
    <row r="729" spans="1:8" x14ac:dyDescent="0.25">
      <c r="A729" s="7">
        <v>97.674418604651152</v>
      </c>
      <c r="B729">
        <v>73.529411764705884</v>
      </c>
      <c r="C729" s="7">
        <v>97.674418604651152</v>
      </c>
      <c r="D729">
        <v>73.529411764705884</v>
      </c>
      <c r="E729" s="2">
        <f t="shared" si="46"/>
        <v>524</v>
      </c>
      <c r="F729" s="2">
        <f t="shared" si="47"/>
        <v>593</v>
      </c>
      <c r="G729" s="2">
        <f t="shared" si="48"/>
        <v>-69</v>
      </c>
      <c r="H729" s="2">
        <f t="shared" si="45"/>
        <v>4761</v>
      </c>
    </row>
    <row r="730" spans="1:8" x14ac:dyDescent="0.25">
      <c r="A730" s="7">
        <v>97.727272727272734</v>
      </c>
      <c r="B730">
        <v>93.548387096774192</v>
      </c>
      <c r="C730" s="7">
        <v>97.727272727272734</v>
      </c>
      <c r="D730">
        <v>93.548387096774192</v>
      </c>
      <c r="E730" s="2">
        <f t="shared" si="46"/>
        <v>528</v>
      </c>
      <c r="F730" s="2">
        <f t="shared" si="47"/>
        <v>847</v>
      </c>
      <c r="G730" s="2">
        <f t="shared" si="48"/>
        <v>-319</v>
      </c>
      <c r="H730" s="2">
        <f t="shared" si="45"/>
        <v>101761</v>
      </c>
    </row>
    <row r="731" spans="1:8" x14ac:dyDescent="0.25">
      <c r="A731" s="7">
        <v>100</v>
      </c>
      <c r="B731">
        <v>0</v>
      </c>
      <c r="C731" s="7">
        <v>100</v>
      </c>
      <c r="D731">
        <v>0</v>
      </c>
      <c r="E731" s="2">
        <f t="shared" si="46"/>
        <v>782</v>
      </c>
      <c r="F731" s="2">
        <f t="shared" si="47"/>
        <v>199.5</v>
      </c>
      <c r="G731" s="2">
        <f t="shared" si="48"/>
        <v>582.5</v>
      </c>
      <c r="H731" s="2">
        <f t="shared" si="45"/>
        <v>339306.25</v>
      </c>
    </row>
    <row r="732" spans="1:8" x14ac:dyDescent="0.25">
      <c r="A732" s="7">
        <v>98.113207547169807</v>
      </c>
      <c r="B732">
        <v>82.608695652173907</v>
      </c>
      <c r="C732" s="7">
        <v>98.113207547169807</v>
      </c>
      <c r="D732">
        <v>82.608695652173907</v>
      </c>
      <c r="E732" s="2">
        <f t="shared" si="46"/>
        <v>537</v>
      </c>
      <c r="F732" s="2">
        <f t="shared" si="47"/>
        <v>679</v>
      </c>
      <c r="G732" s="2">
        <f t="shared" si="48"/>
        <v>-142</v>
      </c>
      <c r="H732" s="2">
        <f t="shared" si="45"/>
        <v>20164</v>
      </c>
    </row>
    <row r="733" spans="1:8" x14ac:dyDescent="0.25">
      <c r="A733" s="7">
        <v>93.181818181818173</v>
      </c>
      <c r="B733">
        <v>80</v>
      </c>
      <c r="C733" s="7">
        <v>93.181818181818173</v>
      </c>
      <c r="D733">
        <v>80</v>
      </c>
      <c r="E733" s="2">
        <f t="shared" si="46"/>
        <v>408</v>
      </c>
      <c r="F733" s="2">
        <f t="shared" si="47"/>
        <v>649.5</v>
      </c>
      <c r="G733" s="2">
        <f t="shared" si="48"/>
        <v>-241.5</v>
      </c>
      <c r="H733" s="2">
        <f t="shared" si="45"/>
        <v>58322.25</v>
      </c>
    </row>
    <row r="734" spans="1:8" x14ac:dyDescent="0.25">
      <c r="A734" s="7">
        <v>95.833333333333343</v>
      </c>
      <c r="B734">
        <v>70</v>
      </c>
      <c r="C734" s="7">
        <v>95.833333333333343</v>
      </c>
      <c r="D734">
        <v>70</v>
      </c>
      <c r="E734" s="2">
        <f t="shared" si="46"/>
        <v>467</v>
      </c>
      <c r="F734" s="2">
        <f t="shared" si="47"/>
        <v>552.5</v>
      </c>
      <c r="G734" s="2">
        <f t="shared" si="48"/>
        <v>-85.5</v>
      </c>
      <c r="H734" s="2">
        <f t="shared" si="45"/>
        <v>7310.25</v>
      </c>
    </row>
    <row r="735" spans="1:8" x14ac:dyDescent="0.25">
      <c r="A735" s="7">
        <v>95.424836601307192</v>
      </c>
      <c r="B735">
        <v>77.227722772277232</v>
      </c>
      <c r="C735" s="7">
        <v>95.424836601307192</v>
      </c>
      <c r="D735">
        <v>77.227722772277232</v>
      </c>
      <c r="E735" s="2">
        <f t="shared" si="46"/>
        <v>453</v>
      </c>
      <c r="F735" s="2">
        <f t="shared" si="47"/>
        <v>624</v>
      </c>
      <c r="G735" s="2">
        <f t="shared" si="48"/>
        <v>-171</v>
      </c>
      <c r="H735" s="2">
        <f t="shared" si="45"/>
        <v>29241</v>
      </c>
    </row>
    <row r="736" spans="1:8" x14ac:dyDescent="0.25">
      <c r="A736" s="7">
        <v>100</v>
      </c>
      <c r="B736">
        <v>0</v>
      </c>
      <c r="C736" s="7">
        <v>100</v>
      </c>
      <c r="D736">
        <v>0</v>
      </c>
      <c r="E736" s="2">
        <f t="shared" si="46"/>
        <v>782</v>
      </c>
      <c r="F736" s="2">
        <f t="shared" si="47"/>
        <v>199.5</v>
      </c>
      <c r="G736" s="2">
        <f t="shared" si="48"/>
        <v>582.5</v>
      </c>
      <c r="H736" s="2">
        <f t="shared" si="45"/>
        <v>339306.25</v>
      </c>
    </row>
    <row r="737" spans="1:8" x14ac:dyDescent="0.25">
      <c r="A737" s="7">
        <v>100</v>
      </c>
      <c r="B737">
        <v>0</v>
      </c>
      <c r="C737" s="7">
        <v>100</v>
      </c>
      <c r="D737">
        <v>0</v>
      </c>
      <c r="E737" s="2">
        <f t="shared" si="46"/>
        <v>782</v>
      </c>
      <c r="F737" s="2">
        <f t="shared" si="47"/>
        <v>199.5</v>
      </c>
      <c r="G737" s="2">
        <f t="shared" si="48"/>
        <v>582.5</v>
      </c>
      <c r="H737" s="2">
        <f t="shared" si="45"/>
        <v>339306.25</v>
      </c>
    </row>
    <row r="738" spans="1:8" x14ac:dyDescent="0.25">
      <c r="A738" s="7">
        <v>95.708154506437765</v>
      </c>
      <c r="B738">
        <v>90.429042904290426</v>
      </c>
      <c r="C738" s="7">
        <v>95.708154506437765</v>
      </c>
      <c r="D738">
        <v>90.429042904290426</v>
      </c>
      <c r="E738" s="2">
        <f t="shared" si="46"/>
        <v>464</v>
      </c>
      <c r="F738" s="2">
        <f t="shared" si="47"/>
        <v>807</v>
      </c>
      <c r="G738" s="2">
        <f t="shared" si="48"/>
        <v>-343</v>
      </c>
      <c r="H738" s="2">
        <f t="shared" si="45"/>
        <v>117649</v>
      </c>
    </row>
    <row r="739" spans="1:8" x14ac:dyDescent="0.25">
      <c r="A739" s="7">
        <v>80</v>
      </c>
      <c r="B739">
        <v>80</v>
      </c>
      <c r="C739" s="7">
        <v>80</v>
      </c>
      <c r="D739">
        <v>80</v>
      </c>
      <c r="E739" s="2">
        <f t="shared" si="46"/>
        <v>179.5</v>
      </c>
      <c r="F739" s="2">
        <f t="shared" si="47"/>
        <v>649.5</v>
      </c>
      <c r="G739" s="2">
        <f t="shared" si="48"/>
        <v>-470</v>
      </c>
      <c r="H739" s="2">
        <f t="shared" si="45"/>
        <v>220900</v>
      </c>
    </row>
    <row r="740" spans="1:8" x14ac:dyDescent="0.25">
      <c r="A740" s="7">
        <v>94.174757281553397</v>
      </c>
      <c r="B740">
        <v>89.393939393939391</v>
      </c>
      <c r="C740" s="7">
        <v>94.174757281553397</v>
      </c>
      <c r="D740">
        <v>89.393939393939391</v>
      </c>
      <c r="E740" s="2">
        <f t="shared" si="46"/>
        <v>421.5</v>
      </c>
      <c r="F740" s="2">
        <f t="shared" si="47"/>
        <v>790</v>
      </c>
      <c r="G740" s="2">
        <f t="shared" si="48"/>
        <v>-368.5</v>
      </c>
      <c r="H740" s="2">
        <f t="shared" si="45"/>
        <v>135792.25</v>
      </c>
    </row>
    <row r="741" spans="1:8" x14ac:dyDescent="0.25">
      <c r="A741" s="7">
        <v>100</v>
      </c>
      <c r="B741">
        <v>100</v>
      </c>
      <c r="C741" s="7">
        <v>100</v>
      </c>
      <c r="D741">
        <v>100</v>
      </c>
      <c r="E741" s="2">
        <f t="shared" si="46"/>
        <v>782</v>
      </c>
      <c r="F741" s="2">
        <f t="shared" si="47"/>
        <v>943.5</v>
      </c>
      <c r="G741" s="2">
        <f t="shared" si="48"/>
        <v>-161.5</v>
      </c>
      <c r="H741" s="2">
        <f t="shared" si="45"/>
        <v>26082.25</v>
      </c>
    </row>
    <row r="742" spans="1:8" x14ac:dyDescent="0.25">
      <c r="A742" s="7">
        <v>68.468468468468473</v>
      </c>
      <c r="B742">
        <v>60.784313725490193</v>
      </c>
      <c r="C742" s="7">
        <v>68.468468468468473</v>
      </c>
      <c r="D742">
        <v>60.784313725490193</v>
      </c>
      <c r="E742" s="2">
        <f t="shared" si="46"/>
        <v>111</v>
      </c>
      <c r="F742" s="2">
        <f t="shared" si="47"/>
        <v>481.5</v>
      </c>
      <c r="G742" s="2">
        <f t="shared" si="48"/>
        <v>-370.5</v>
      </c>
      <c r="H742" s="2">
        <f t="shared" si="45"/>
        <v>137270.25</v>
      </c>
    </row>
    <row r="743" spans="1:8" x14ac:dyDescent="0.25">
      <c r="A743" s="7">
        <v>83.333333333333343</v>
      </c>
      <c r="B743">
        <v>81.081081081081081</v>
      </c>
      <c r="C743" s="7">
        <v>83.333333333333343</v>
      </c>
      <c r="D743">
        <v>81.081081081081081</v>
      </c>
      <c r="E743" s="2">
        <f t="shared" si="46"/>
        <v>212.5</v>
      </c>
      <c r="F743" s="2">
        <f t="shared" si="47"/>
        <v>657</v>
      </c>
      <c r="G743" s="2">
        <f t="shared" si="48"/>
        <v>-444.5</v>
      </c>
      <c r="H743" s="2">
        <f t="shared" si="45"/>
        <v>197580.25</v>
      </c>
    </row>
    <row r="744" spans="1:8" x14ac:dyDescent="0.25">
      <c r="A744" s="7">
        <v>86.734693877551024</v>
      </c>
      <c r="B744">
        <v>78.021978021978029</v>
      </c>
      <c r="C744" s="7">
        <v>86.734693877551024</v>
      </c>
      <c r="D744">
        <v>78.021978021978029</v>
      </c>
      <c r="E744" s="2">
        <f t="shared" si="46"/>
        <v>261</v>
      </c>
      <c r="F744" s="2">
        <f t="shared" si="47"/>
        <v>635</v>
      </c>
      <c r="G744" s="2">
        <f t="shared" si="48"/>
        <v>-374</v>
      </c>
      <c r="H744" s="2">
        <f t="shared" si="45"/>
        <v>139876</v>
      </c>
    </row>
    <row r="745" spans="1:8" x14ac:dyDescent="0.25">
      <c r="A745" s="7">
        <v>94.117647058823522</v>
      </c>
      <c r="B745">
        <v>100</v>
      </c>
      <c r="C745" s="7">
        <v>94.117647058823522</v>
      </c>
      <c r="D745">
        <v>100</v>
      </c>
      <c r="E745" s="2">
        <f t="shared" si="46"/>
        <v>419.5</v>
      </c>
      <c r="F745" s="2">
        <f t="shared" si="47"/>
        <v>943.5</v>
      </c>
      <c r="G745" s="2">
        <f t="shared" si="48"/>
        <v>-524</v>
      </c>
      <c r="H745" s="2">
        <f t="shared" si="45"/>
        <v>274576</v>
      </c>
    </row>
    <row r="746" spans="1:8" x14ac:dyDescent="0.25">
      <c r="A746" s="7">
        <v>88.888888888888886</v>
      </c>
      <c r="B746">
        <v>0</v>
      </c>
      <c r="C746" s="7">
        <v>88.888888888888886</v>
      </c>
      <c r="D746">
        <v>0</v>
      </c>
      <c r="E746" s="2">
        <f t="shared" si="46"/>
        <v>298.5</v>
      </c>
      <c r="F746" s="2">
        <f t="shared" si="47"/>
        <v>199.5</v>
      </c>
      <c r="G746" s="2">
        <f t="shared" si="48"/>
        <v>99</v>
      </c>
      <c r="H746" s="2">
        <f t="shared" si="45"/>
        <v>9801</v>
      </c>
    </row>
    <row r="747" spans="1:8" x14ac:dyDescent="0.25">
      <c r="A747" s="7">
        <v>87.272727272727266</v>
      </c>
      <c r="B747">
        <v>67.692307692307693</v>
      </c>
      <c r="C747" s="7">
        <v>87.272727272727266</v>
      </c>
      <c r="D747">
        <v>67.692307692307693</v>
      </c>
      <c r="E747" s="2">
        <f t="shared" si="46"/>
        <v>273</v>
      </c>
      <c r="F747" s="2">
        <f t="shared" si="47"/>
        <v>536</v>
      </c>
      <c r="G747" s="2">
        <f t="shared" si="48"/>
        <v>-263</v>
      </c>
      <c r="H747" s="2">
        <f t="shared" si="45"/>
        <v>69169</v>
      </c>
    </row>
    <row r="748" spans="1:8" x14ac:dyDescent="0.25">
      <c r="A748" s="7">
        <v>91.764705882352942</v>
      </c>
      <c r="B748">
        <v>82.051282051282044</v>
      </c>
      <c r="C748" s="7">
        <v>91.764705882352942</v>
      </c>
      <c r="D748">
        <v>82.051282051282044</v>
      </c>
      <c r="E748" s="2">
        <f t="shared" si="46"/>
        <v>375</v>
      </c>
      <c r="F748" s="2">
        <f t="shared" si="47"/>
        <v>666.5</v>
      </c>
      <c r="G748" s="2">
        <f t="shared" si="48"/>
        <v>-291.5</v>
      </c>
      <c r="H748" s="2">
        <f t="shared" si="45"/>
        <v>84972.25</v>
      </c>
    </row>
    <row r="749" spans="1:8" x14ac:dyDescent="0.25">
      <c r="A749" s="7">
        <v>100</v>
      </c>
      <c r="B749">
        <v>100</v>
      </c>
      <c r="C749" s="7">
        <v>100</v>
      </c>
      <c r="D749">
        <v>100</v>
      </c>
      <c r="E749" s="2">
        <f t="shared" si="46"/>
        <v>782</v>
      </c>
      <c r="F749" s="2">
        <f t="shared" si="47"/>
        <v>943.5</v>
      </c>
      <c r="G749" s="2">
        <f t="shared" si="48"/>
        <v>-161.5</v>
      </c>
      <c r="H749" s="2">
        <f t="shared" si="45"/>
        <v>26082.25</v>
      </c>
    </row>
    <row r="750" spans="1:8" x14ac:dyDescent="0.25">
      <c r="A750" s="7">
        <v>96.124031007751938</v>
      </c>
      <c r="B750">
        <v>92.307692307692307</v>
      </c>
      <c r="C750" s="7">
        <v>96.124031007751938</v>
      </c>
      <c r="D750">
        <v>92.307692307692307</v>
      </c>
      <c r="E750" s="2">
        <f t="shared" si="46"/>
        <v>478</v>
      </c>
      <c r="F750" s="2">
        <f t="shared" si="47"/>
        <v>825.5</v>
      </c>
      <c r="G750" s="2">
        <f t="shared" si="48"/>
        <v>-347.5</v>
      </c>
      <c r="H750" s="2">
        <f t="shared" si="45"/>
        <v>120756.25</v>
      </c>
    </row>
    <row r="751" spans="1:8" x14ac:dyDescent="0.25">
      <c r="A751" s="7">
        <v>84.049079754601223</v>
      </c>
      <c r="B751">
        <v>56.737588652482273</v>
      </c>
      <c r="C751" s="7">
        <v>84.049079754601223</v>
      </c>
      <c r="D751">
        <v>56.737588652482273</v>
      </c>
      <c r="E751" s="2">
        <f t="shared" si="46"/>
        <v>223</v>
      </c>
      <c r="F751" s="2">
        <f t="shared" si="47"/>
        <v>457</v>
      </c>
      <c r="G751" s="2">
        <f t="shared" si="48"/>
        <v>-234</v>
      </c>
      <c r="H751" s="2">
        <f t="shared" si="45"/>
        <v>54756</v>
      </c>
    </row>
    <row r="752" spans="1:8" x14ac:dyDescent="0.25">
      <c r="A752" s="7">
        <v>85.106382978723403</v>
      </c>
      <c r="B752">
        <v>56.60377358490566</v>
      </c>
      <c r="C752" s="7">
        <v>85.106382978723403</v>
      </c>
      <c r="D752">
        <v>56.60377358490566</v>
      </c>
      <c r="E752" s="2">
        <f t="shared" si="46"/>
        <v>236</v>
      </c>
      <c r="F752" s="2">
        <f t="shared" si="47"/>
        <v>455.5</v>
      </c>
      <c r="G752" s="2">
        <f t="shared" si="48"/>
        <v>-219.5</v>
      </c>
      <c r="H752" s="2">
        <f t="shared" si="45"/>
        <v>48180.25</v>
      </c>
    </row>
    <row r="753" spans="1:8" x14ac:dyDescent="0.25">
      <c r="A753" s="7">
        <v>66.666666666666657</v>
      </c>
      <c r="B753">
        <v>72.727272727272734</v>
      </c>
      <c r="C753" s="7">
        <v>66.666666666666657</v>
      </c>
      <c r="D753">
        <v>72.727272727272734</v>
      </c>
      <c r="E753" s="2">
        <f t="shared" si="46"/>
        <v>106.5</v>
      </c>
      <c r="F753" s="2">
        <f t="shared" si="47"/>
        <v>580.5</v>
      </c>
      <c r="G753" s="2">
        <f t="shared" si="48"/>
        <v>-474</v>
      </c>
      <c r="H753" s="2">
        <f t="shared" si="45"/>
        <v>224676</v>
      </c>
    </row>
    <row r="754" spans="1:8" x14ac:dyDescent="0.25">
      <c r="A754" s="7">
        <v>77.5</v>
      </c>
      <c r="B754">
        <v>33.333333333333329</v>
      </c>
      <c r="C754" s="7">
        <v>77.5</v>
      </c>
      <c r="D754">
        <v>33.333333333333329</v>
      </c>
      <c r="E754" s="2">
        <f t="shared" si="46"/>
        <v>157</v>
      </c>
      <c r="F754" s="2">
        <f t="shared" si="47"/>
        <v>408</v>
      </c>
      <c r="G754" s="2">
        <f t="shared" si="48"/>
        <v>-251</v>
      </c>
      <c r="H754" s="2">
        <f t="shared" si="45"/>
        <v>63001</v>
      </c>
    </row>
    <row r="755" spans="1:8" x14ac:dyDescent="0.25">
      <c r="A755" s="7">
        <v>100</v>
      </c>
      <c r="B755">
        <v>100</v>
      </c>
      <c r="C755" s="7">
        <v>100</v>
      </c>
      <c r="D755">
        <v>100</v>
      </c>
      <c r="E755" s="2">
        <f t="shared" si="46"/>
        <v>782</v>
      </c>
      <c r="F755" s="2">
        <f t="shared" si="47"/>
        <v>943.5</v>
      </c>
      <c r="G755" s="2">
        <f t="shared" si="48"/>
        <v>-161.5</v>
      </c>
      <c r="H755" s="2">
        <f t="shared" si="45"/>
        <v>26082.25</v>
      </c>
    </row>
    <row r="756" spans="1:8" x14ac:dyDescent="0.25">
      <c r="A756" s="7">
        <v>91.666666666666657</v>
      </c>
      <c r="B756">
        <v>100</v>
      </c>
      <c r="C756" s="7">
        <v>91.666666666666657</v>
      </c>
      <c r="D756">
        <v>100</v>
      </c>
      <c r="E756" s="2">
        <f t="shared" si="46"/>
        <v>368.5</v>
      </c>
      <c r="F756" s="2">
        <f t="shared" si="47"/>
        <v>943.5</v>
      </c>
      <c r="G756" s="2">
        <f t="shared" si="48"/>
        <v>-575</v>
      </c>
      <c r="H756" s="2">
        <f t="shared" si="45"/>
        <v>330625</v>
      </c>
    </row>
    <row r="757" spans="1:8" x14ac:dyDescent="0.25">
      <c r="A757" s="7">
        <v>100</v>
      </c>
      <c r="B757">
        <v>100</v>
      </c>
      <c r="C757" s="7">
        <v>100</v>
      </c>
      <c r="D757">
        <v>100</v>
      </c>
      <c r="E757" s="2">
        <f t="shared" si="46"/>
        <v>782</v>
      </c>
      <c r="F757" s="2">
        <f t="shared" si="47"/>
        <v>943.5</v>
      </c>
      <c r="G757" s="2">
        <f t="shared" si="48"/>
        <v>-161.5</v>
      </c>
      <c r="H757" s="2">
        <f t="shared" si="45"/>
        <v>26082.25</v>
      </c>
    </row>
    <row r="758" spans="1:8" x14ac:dyDescent="0.25">
      <c r="A758" s="7">
        <v>100</v>
      </c>
      <c r="B758">
        <v>100</v>
      </c>
      <c r="C758" s="7">
        <v>100</v>
      </c>
      <c r="D758">
        <v>100</v>
      </c>
      <c r="E758" s="2">
        <f t="shared" si="46"/>
        <v>782</v>
      </c>
      <c r="F758" s="2">
        <f t="shared" si="47"/>
        <v>943.5</v>
      </c>
      <c r="G758" s="2">
        <f t="shared" si="48"/>
        <v>-161.5</v>
      </c>
      <c r="H758" s="2">
        <f t="shared" si="45"/>
        <v>26082.25</v>
      </c>
    </row>
    <row r="759" spans="1:8" x14ac:dyDescent="0.25">
      <c r="A759" s="7">
        <v>84.615384615384613</v>
      </c>
      <c r="B759">
        <v>100</v>
      </c>
      <c r="C759" s="7">
        <v>84.615384615384613</v>
      </c>
      <c r="D759">
        <v>100</v>
      </c>
      <c r="E759" s="2">
        <f t="shared" si="46"/>
        <v>233</v>
      </c>
      <c r="F759" s="2">
        <f t="shared" si="47"/>
        <v>943.5</v>
      </c>
      <c r="G759" s="2">
        <f t="shared" si="48"/>
        <v>-710.5</v>
      </c>
      <c r="H759" s="2">
        <f t="shared" si="45"/>
        <v>504810.25</v>
      </c>
    </row>
    <row r="760" spans="1:8" x14ac:dyDescent="0.25">
      <c r="A760" s="7">
        <v>100</v>
      </c>
      <c r="B760">
        <v>100</v>
      </c>
      <c r="C760" s="7">
        <v>100</v>
      </c>
      <c r="D760">
        <v>100</v>
      </c>
      <c r="E760" s="2">
        <f t="shared" si="46"/>
        <v>782</v>
      </c>
      <c r="F760" s="2">
        <f t="shared" si="47"/>
        <v>943.5</v>
      </c>
      <c r="G760" s="2">
        <f t="shared" si="48"/>
        <v>-161.5</v>
      </c>
      <c r="H760" s="2">
        <f t="shared" si="45"/>
        <v>26082.25</v>
      </c>
    </row>
    <row r="761" spans="1:8" x14ac:dyDescent="0.25">
      <c r="A761" s="7">
        <v>97.368421052631575</v>
      </c>
      <c r="B761">
        <v>89.565217391304358</v>
      </c>
      <c r="C761" s="7">
        <v>97.368421052631575</v>
      </c>
      <c r="D761">
        <v>89.565217391304358</v>
      </c>
      <c r="E761" s="2">
        <f t="shared" si="46"/>
        <v>511</v>
      </c>
      <c r="F761" s="2">
        <f t="shared" si="47"/>
        <v>794</v>
      </c>
      <c r="G761" s="2">
        <f t="shared" si="48"/>
        <v>-283</v>
      </c>
      <c r="H761" s="2">
        <f t="shared" ref="H761:H824" si="49">IF(C761="","",G761^2)</f>
        <v>80089</v>
      </c>
    </row>
    <row r="762" spans="1:8" x14ac:dyDescent="0.25">
      <c r="A762" s="7">
        <v>61.29032258064516</v>
      </c>
      <c r="B762">
        <v>73.68421052631578</v>
      </c>
      <c r="C762" s="7">
        <v>61.29032258064516</v>
      </c>
      <c r="D762">
        <v>73.68421052631578</v>
      </c>
      <c r="E762" s="2">
        <f t="shared" si="46"/>
        <v>95</v>
      </c>
      <c r="F762" s="2">
        <f t="shared" si="47"/>
        <v>596.5</v>
      </c>
      <c r="G762" s="2">
        <f t="shared" si="48"/>
        <v>-501.5</v>
      </c>
      <c r="H762" s="2">
        <f t="shared" si="49"/>
        <v>251502.25</v>
      </c>
    </row>
    <row r="763" spans="1:8" x14ac:dyDescent="0.25">
      <c r="A763" s="7">
        <v>100</v>
      </c>
      <c r="B763">
        <v>0</v>
      </c>
      <c r="C763" s="7">
        <v>100</v>
      </c>
      <c r="D763">
        <v>0</v>
      </c>
      <c r="E763" s="2">
        <f t="shared" si="46"/>
        <v>782</v>
      </c>
      <c r="F763" s="2">
        <f t="shared" si="47"/>
        <v>199.5</v>
      </c>
      <c r="G763" s="2">
        <f t="shared" si="48"/>
        <v>582.5</v>
      </c>
      <c r="H763" s="2">
        <f t="shared" si="49"/>
        <v>339306.25</v>
      </c>
    </row>
    <row r="764" spans="1:8" x14ac:dyDescent="0.25">
      <c r="A764" s="7">
        <v>69.565217391304344</v>
      </c>
      <c r="B764">
        <v>60</v>
      </c>
      <c r="C764" s="7">
        <v>69.565217391304344</v>
      </c>
      <c r="D764">
        <v>60</v>
      </c>
      <c r="E764" s="2">
        <f t="shared" si="46"/>
        <v>113</v>
      </c>
      <c r="F764" s="2">
        <f t="shared" si="47"/>
        <v>475.5</v>
      </c>
      <c r="G764" s="2">
        <f t="shared" si="48"/>
        <v>-362.5</v>
      </c>
      <c r="H764" s="2">
        <f t="shared" si="49"/>
        <v>131406.25</v>
      </c>
    </row>
    <row r="765" spans="1:8" x14ac:dyDescent="0.25">
      <c r="A765" s="7">
        <v>100</v>
      </c>
      <c r="B765">
        <v>88.888888888888886</v>
      </c>
      <c r="C765" s="7">
        <v>100</v>
      </c>
      <c r="D765">
        <v>88.888888888888886</v>
      </c>
      <c r="E765" s="2">
        <f t="shared" si="46"/>
        <v>782</v>
      </c>
      <c r="F765" s="2">
        <f t="shared" si="47"/>
        <v>777.5</v>
      </c>
      <c r="G765" s="2">
        <f t="shared" si="48"/>
        <v>4.5</v>
      </c>
      <c r="H765" s="2">
        <f t="shared" si="49"/>
        <v>20.25</v>
      </c>
    </row>
    <row r="766" spans="1:8" x14ac:dyDescent="0.25">
      <c r="A766" s="7">
        <v>90.909090909090907</v>
      </c>
      <c r="B766">
        <v>100</v>
      </c>
      <c r="C766" s="7">
        <v>90.909090909090907</v>
      </c>
      <c r="D766">
        <v>100</v>
      </c>
      <c r="E766" s="2">
        <f t="shared" si="46"/>
        <v>349</v>
      </c>
      <c r="F766" s="2">
        <f t="shared" si="47"/>
        <v>943.5</v>
      </c>
      <c r="G766" s="2">
        <f t="shared" si="48"/>
        <v>-594.5</v>
      </c>
      <c r="H766" s="2">
        <f t="shared" si="49"/>
        <v>353430.25</v>
      </c>
    </row>
    <row r="767" spans="1:8" x14ac:dyDescent="0.25">
      <c r="A767" s="7">
        <v>11.627906976744185</v>
      </c>
      <c r="B767">
        <v>0</v>
      </c>
      <c r="C767" s="7">
        <v>11.627906976744185</v>
      </c>
      <c r="D767">
        <v>0</v>
      </c>
      <c r="E767" s="2">
        <f t="shared" si="46"/>
        <v>41</v>
      </c>
      <c r="F767" s="2">
        <f t="shared" si="47"/>
        <v>199.5</v>
      </c>
      <c r="G767" s="2">
        <f t="shared" si="48"/>
        <v>-158.5</v>
      </c>
      <c r="H767" s="2">
        <f t="shared" si="49"/>
        <v>25122.25</v>
      </c>
    </row>
    <row r="768" spans="1:8" x14ac:dyDescent="0.25">
      <c r="A768" s="7">
        <v>100</v>
      </c>
      <c r="B768">
        <v>0</v>
      </c>
      <c r="C768" s="7">
        <v>100</v>
      </c>
      <c r="D768">
        <v>0</v>
      </c>
      <c r="E768" s="2">
        <f t="shared" si="46"/>
        <v>782</v>
      </c>
      <c r="F768" s="2">
        <f t="shared" si="47"/>
        <v>199.5</v>
      </c>
      <c r="G768" s="2">
        <f t="shared" si="48"/>
        <v>582.5</v>
      </c>
      <c r="H768" s="2">
        <f t="shared" si="49"/>
        <v>339306.25</v>
      </c>
    </row>
    <row r="769" spans="1:8" x14ac:dyDescent="0.25">
      <c r="A769" s="7">
        <v>100</v>
      </c>
      <c r="B769">
        <v>92.682926829268297</v>
      </c>
      <c r="C769" s="7">
        <v>100</v>
      </c>
      <c r="D769">
        <v>92.682926829268297</v>
      </c>
      <c r="E769" s="2">
        <f t="shared" si="46"/>
        <v>782</v>
      </c>
      <c r="F769" s="2">
        <f t="shared" si="47"/>
        <v>831.5</v>
      </c>
      <c r="G769" s="2">
        <f t="shared" si="48"/>
        <v>-49.5</v>
      </c>
      <c r="H769" s="2">
        <f t="shared" si="49"/>
        <v>2450.25</v>
      </c>
    </row>
    <row r="770" spans="1:8" x14ac:dyDescent="0.25">
      <c r="A770" s="7">
        <v>16.666666666666664</v>
      </c>
      <c r="B770">
        <v>50</v>
      </c>
      <c r="C770" s="7">
        <v>16.666666666666664</v>
      </c>
      <c r="D770">
        <v>50</v>
      </c>
      <c r="E770" s="2">
        <f t="shared" si="46"/>
        <v>43</v>
      </c>
      <c r="F770" s="2">
        <f t="shared" si="47"/>
        <v>430.5</v>
      </c>
      <c r="G770" s="2">
        <f t="shared" si="48"/>
        <v>-387.5</v>
      </c>
      <c r="H770" s="2">
        <f t="shared" si="49"/>
        <v>150156.25</v>
      </c>
    </row>
    <row r="771" spans="1:8" x14ac:dyDescent="0.25">
      <c r="A771" s="7">
        <v>80.952380952380949</v>
      </c>
      <c r="B771">
        <v>100</v>
      </c>
      <c r="C771" s="7">
        <v>80.952380952380949</v>
      </c>
      <c r="D771">
        <v>100</v>
      </c>
      <c r="E771" s="2">
        <f t="shared" ref="E771:E834" si="50">IF(C771="","",_xlfn.RANK.AVG(C771,C$2:C$1003,1))</f>
        <v>185</v>
      </c>
      <c r="F771" s="2">
        <f t="shared" ref="F771:F834" si="51">IF(D771="","",_xlfn.RANK.AVG(D771,D$2:D$1003,1))</f>
        <v>943.5</v>
      </c>
      <c r="G771" s="2">
        <f t="shared" ref="G771:G834" si="52">IF(C771="","",E771-F771)</f>
        <v>-758.5</v>
      </c>
      <c r="H771" s="2">
        <f t="shared" si="49"/>
        <v>575322.25</v>
      </c>
    </row>
    <row r="772" spans="1:8" x14ac:dyDescent="0.25">
      <c r="A772" s="7">
        <v>100</v>
      </c>
      <c r="B772">
        <v>0</v>
      </c>
      <c r="C772" s="7">
        <v>100</v>
      </c>
      <c r="D772">
        <v>0</v>
      </c>
      <c r="E772" s="2">
        <f t="shared" si="50"/>
        <v>782</v>
      </c>
      <c r="F772" s="2">
        <f t="shared" si="51"/>
        <v>199.5</v>
      </c>
      <c r="G772" s="2">
        <f t="shared" si="52"/>
        <v>582.5</v>
      </c>
      <c r="H772" s="2">
        <f t="shared" si="49"/>
        <v>339306.25</v>
      </c>
    </row>
    <row r="773" spans="1:8" x14ac:dyDescent="0.25">
      <c r="A773" s="7">
        <v>60</v>
      </c>
      <c r="B773">
        <v>50</v>
      </c>
      <c r="C773" s="7">
        <v>60</v>
      </c>
      <c r="D773">
        <v>50</v>
      </c>
      <c r="E773" s="2">
        <f t="shared" si="50"/>
        <v>88.5</v>
      </c>
      <c r="F773" s="2">
        <f t="shared" si="51"/>
        <v>430.5</v>
      </c>
      <c r="G773" s="2">
        <f t="shared" si="52"/>
        <v>-342</v>
      </c>
      <c r="H773" s="2">
        <f t="shared" si="49"/>
        <v>116964</v>
      </c>
    </row>
    <row r="774" spans="1:8" x14ac:dyDescent="0.25">
      <c r="A774" s="7">
        <v>88.050314465408803</v>
      </c>
      <c r="B774">
        <v>76.691729323308266</v>
      </c>
      <c r="C774" s="7">
        <v>88.050314465408803</v>
      </c>
      <c r="D774">
        <v>76.691729323308266</v>
      </c>
      <c r="E774" s="2">
        <f t="shared" si="50"/>
        <v>287</v>
      </c>
      <c r="F774" s="2">
        <f t="shared" si="51"/>
        <v>623</v>
      </c>
      <c r="G774" s="2">
        <f t="shared" si="52"/>
        <v>-336</v>
      </c>
      <c r="H774" s="2">
        <f t="shared" si="49"/>
        <v>112896</v>
      </c>
    </row>
    <row r="775" spans="1:8" x14ac:dyDescent="0.25">
      <c r="A775" s="7">
        <v>80</v>
      </c>
      <c r="B775">
        <v>0</v>
      </c>
      <c r="C775" s="7">
        <v>80</v>
      </c>
      <c r="D775">
        <v>0</v>
      </c>
      <c r="E775" s="2">
        <f t="shared" si="50"/>
        <v>179.5</v>
      </c>
      <c r="F775" s="2">
        <f t="shared" si="51"/>
        <v>199.5</v>
      </c>
      <c r="G775" s="2">
        <f t="shared" si="52"/>
        <v>-20</v>
      </c>
      <c r="H775" s="2">
        <f t="shared" si="49"/>
        <v>400</v>
      </c>
    </row>
    <row r="776" spans="1:8" x14ac:dyDescent="0.25">
      <c r="A776" s="7">
        <v>100</v>
      </c>
      <c r="B776">
        <v>0</v>
      </c>
      <c r="C776" s="7">
        <v>100</v>
      </c>
      <c r="D776">
        <v>0</v>
      </c>
      <c r="E776" s="2">
        <f t="shared" si="50"/>
        <v>782</v>
      </c>
      <c r="F776" s="2">
        <f t="shared" si="51"/>
        <v>199.5</v>
      </c>
      <c r="G776" s="2">
        <f t="shared" si="52"/>
        <v>582.5</v>
      </c>
      <c r="H776" s="2">
        <f t="shared" si="49"/>
        <v>339306.25</v>
      </c>
    </row>
    <row r="777" spans="1:8" x14ac:dyDescent="0.25">
      <c r="A777" s="7">
        <v>84.615384615384613</v>
      </c>
      <c r="B777">
        <v>0</v>
      </c>
      <c r="C777" s="7">
        <v>84.615384615384613</v>
      </c>
      <c r="D777">
        <v>0</v>
      </c>
      <c r="E777" s="2">
        <f t="shared" si="50"/>
        <v>233</v>
      </c>
      <c r="F777" s="2">
        <f t="shared" si="51"/>
        <v>199.5</v>
      </c>
      <c r="G777" s="2">
        <f t="shared" si="52"/>
        <v>33.5</v>
      </c>
      <c r="H777" s="2">
        <f t="shared" si="49"/>
        <v>1122.25</v>
      </c>
    </row>
    <row r="778" spans="1:8" x14ac:dyDescent="0.25">
      <c r="A778" s="7">
        <v>75</v>
      </c>
      <c r="B778">
        <v>0</v>
      </c>
      <c r="C778" s="7">
        <v>75</v>
      </c>
      <c r="D778">
        <v>0</v>
      </c>
      <c r="E778" s="2">
        <f t="shared" si="50"/>
        <v>139</v>
      </c>
      <c r="F778" s="2">
        <f t="shared" si="51"/>
        <v>199.5</v>
      </c>
      <c r="G778" s="2">
        <f t="shared" si="52"/>
        <v>-60.5</v>
      </c>
      <c r="H778" s="2">
        <f t="shared" si="49"/>
        <v>3660.25</v>
      </c>
    </row>
    <row r="779" spans="1:8" x14ac:dyDescent="0.25">
      <c r="A779" s="7">
        <v>89.65517241379311</v>
      </c>
      <c r="B779">
        <v>0</v>
      </c>
      <c r="C779" s="7">
        <v>89.65517241379311</v>
      </c>
      <c r="D779">
        <v>0</v>
      </c>
      <c r="E779" s="2">
        <f t="shared" si="50"/>
        <v>319.5</v>
      </c>
      <c r="F779" s="2">
        <f t="shared" si="51"/>
        <v>199.5</v>
      </c>
      <c r="G779" s="2">
        <f t="shared" si="52"/>
        <v>120</v>
      </c>
      <c r="H779" s="2">
        <f t="shared" si="49"/>
        <v>14400</v>
      </c>
    </row>
    <row r="780" spans="1:8" x14ac:dyDescent="0.25">
      <c r="A780" s="7">
        <v>100</v>
      </c>
      <c r="B780">
        <v>0</v>
      </c>
      <c r="C780" s="7">
        <v>100</v>
      </c>
      <c r="D780">
        <v>0</v>
      </c>
      <c r="E780" s="2">
        <f t="shared" si="50"/>
        <v>782</v>
      </c>
      <c r="F780" s="2">
        <f t="shared" si="51"/>
        <v>199.5</v>
      </c>
      <c r="G780" s="2">
        <f t="shared" si="52"/>
        <v>582.5</v>
      </c>
      <c r="H780" s="2">
        <f t="shared" si="49"/>
        <v>339306.25</v>
      </c>
    </row>
    <row r="781" spans="1:8" x14ac:dyDescent="0.25">
      <c r="A781" s="7">
        <v>100</v>
      </c>
      <c r="B781">
        <v>0</v>
      </c>
      <c r="C781" s="7">
        <v>100</v>
      </c>
      <c r="D781">
        <v>0</v>
      </c>
      <c r="E781" s="2">
        <f t="shared" si="50"/>
        <v>782</v>
      </c>
      <c r="F781" s="2">
        <f t="shared" si="51"/>
        <v>199.5</v>
      </c>
      <c r="G781" s="2">
        <f t="shared" si="52"/>
        <v>582.5</v>
      </c>
      <c r="H781" s="2">
        <f t="shared" si="49"/>
        <v>339306.25</v>
      </c>
    </row>
    <row r="782" spans="1:8" x14ac:dyDescent="0.25">
      <c r="A782" s="7">
        <v>100</v>
      </c>
      <c r="B782">
        <v>0</v>
      </c>
      <c r="C782" s="7">
        <v>100</v>
      </c>
      <c r="D782">
        <v>0</v>
      </c>
      <c r="E782" s="2">
        <f t="shared" si="50"/>
        <v>782</v>
      </c>
      <c r="F782" s="2">
        <f t="shared" si="51"/>
        <v>199.5</v>
      </c>
      <c r="G782" s="2">
        <f t="shared" si="52"/>
        <v>582.5</v>
      </c>
      <c r="H782" s="2">
        <f t="shared" si="49"/>
        <v>339306.25</v>
      </c>
    </row>
    <row r="783" spans="1:8" x14ac:dyDescent="0.25">
      <c r="A783" s="7">
        <v>100</v>
      </c>
      <c r="B783">
        <v>0</v>
      </c>
      <c r="C783" s="7">
        <v>100</v>
      </c>
      <c r="D783">
        <v>0</v>
      </c>
      <c r="E783" s="2">
        <f t="shared" si="50"/>
        <v>782</v>
      </c>
      <c r="F783" s="2">
        <f t="shared" si="51"/>
        <v>199.5</v>
      </c>
      <c r="G783" s="2">
        <f t="shared" si="52"/>
        <v>582.5</v>
      </c>
      <c r="H783" s="2">
        <f t="shared" si="49"/>
        <v>339306.25</v>
      </c>
    </row>
    <row r="784" spans="1:8" x14ac:dyDescent="0.25">
      <c r="A784" s="7">
        <v>100</v>
      </c>
      <c r="B784">
        <v>0</v>
      </c>
      <c r="C784" s="7">
        <v>100</v>
      </c>
      <c r="D784">
        <v>0</v>
      </c>
      <c r="E784" s="2">
        <f t="shared" si="50"/>
        <v>782</v>
      </c>
      <c r="F784" s="2">
        <f t="shared" si="51"/>
        <v>199.5</v>
      </c>
      <c r="G784" s="2">
        <f t="shared" si="52"/>
        <v>582.5</v>
      </c>
      <c r="H784" s="2">
        <f t="shared" si="49"/>
        <v>339306.25</v>
      </c>
    </row>
    <row r="785" spans="1:8" x14ac:dyDescent="0.25">
      <c r="A785" s="7">
        <v>100</v>
      </c>
      <c r="B785">
        <v>0</v>
      </c>
      <c r="C785" s="7">
        <v>100</v>
      </c>
      <c r="D785">
        <v>0</v>
      </c>
      <c r="E785" s="2">
        <f t="shared" si="50"/>
        <v>782</v>
      </c>
      <c r="F785" s="2">
        <f t="shared" si="51"/>
        <v>199.5</v>
      </c>
      <c r="G785" s="2">
        <f t="shared" si="52"/>
        <v>582.5</v>
      </c>
      <c r="H785" s="2">
        <f t="shared" si="49"/>
        <v>339306.25</v>
      </c>
    </row>
    <row r="786" spans="1:8" x14ac:dyDescent="0.25">
      <c r="A786" s="7">
        <v>0</v>
      </c>
      <c r="B786">
        <v>0</v>
      </c>
      <c r="C786" s="7">
        <v>0</v>
      </c>
      <c r="D786">
        <v>0</v>
      </c>
      <c r="E786" s="2">
        <f t="shared" si="50"/>
        <v>20</v>
      </c>
      <c r="F786" s="2">
        <f t="shared" si="51"/>
        <v>199.5</v>
      </c>
      <c r="G786" s="2">
        <f t="shared" si="52"/>
        <v>-179.5</v>
      </c>
      <c r="H786" s="2">
        <f t="shared" si="49"/>
        <v>32220.25</v>
      </c>
    </row>
    <row r="787" spans="1:8" x14ac:dyDescent="0.25">
      <c r="A787" s="7">
        <v>100</v>
      </c>
      <c r="B787">
        <v>0</v>
      </c>
      <c r="C787" s="7">
        <v>100</v>
      </c>
      <c r="D787">
        <v>0</v>
      </c>
      <c r="E787" s="2">
        <f t="shared" si="50"/>
        <v>782</v>
      </c>
      <c r="F787" s="2">
        <f t="shared" si="51"/>
        <v>199.5</v>
      </c>
      <c r="G787" s="2">
        <f t="shared" si="52"/>
        <v>582.5</v>
      </c>
      <c r="H787" s="2">
        <f t="shared" si="49"/>
        <v>339306.25</v>
      </c>
    </row>
    <row r="788" spans="1:8" x14ac:dyDescent="0.25">
      <c r="A788" s="7">
        <v>0</v>
      </c>
      <c r="B788">
        <v>0</v>
      </c>
      <c r="C788" s="7">
        <v>0</v>
      </c>
      <c r="D788">
        <v>0</v>
      </c>
      <c r="E788" s="2">
        <f t="shared" si="50"/>
        <v>20</v>
      </c>
      <c r="F788" s="2">
        <f t="shared" si="51"/>
        <v>199.5</v>
      </c>
      <c r="G788" s="2">
        <f t="shared" si="52"/>
        <v>-179.5</v>
      </c>
      <c r="H788" s="2">
        <f t="shared" si="49"/>
        <v>32220.25</v>
      </c>
    </row>
    <row r="789" spans="1:8" x14ac:dyDescent="0.25">
      <c r="A789" s="7">
        <v>0</v>
      </c>
      <c r="B789">
        <v>0</v>
      </c>
      <c r="C789" s="7">
        <v>0</v>
      </c>
      <c r="D789">
        <v>0</v>
      </c>
      <c r="E789" s="2">
        <f t="shared" si="50"/>
        <v>20</v>
      </c>
      <c r="F789" s="2">
        <f t="shared" si="51"/>
        <v>199.5</v>
      </c>
      <c r="G789" s="2">
        <f t="shared" si="52"/>
        <v>-179.5</v>
      </c>
      <c r="H789" s="2">
        <f t="shared" si="49"/>
        <v>32220.25</v>
      </c>
    </row>
    <row r="790" spans="1:8" x14ac:dyDescent="0.25">
      <c r="A790" s="7">
        <v>0</v>
      </c>
      <c r="B790">
        <v>0</v>
      </c>
      <c r="C790" s="7">
        <v>0</v>
      </c>
      <c r="D790">
        <v>0</v>
      </c>
      <c r="E790" s="2">
        <f t="shared" si="50"/>
        <v>20</v>
      </c>
      <c r="F790" s="2">
        <f t="shared" si="51"/>
        <v>199.5</v>
      </c>
      <c r="G790" s="2">
        <f t="shared" si="52"/>
        <v>-179.5</v>
      </c>
      <c r="H790" s="2">
        <f t="shared" si="49"/>
        <v>32220.25</v>
      </c>
    </row>
    <row r="791" spans="1:8" x14ac:dyDescent="0.25">
      <c r="A791" s="7">
        <v>100</v>
      </c>
      <c r="B791">
        <v>0</v>
      </c>
      <c r="C791" s="7">
        <v>100</v>
      </c>
      <c r="D791">
        <v>0</v>
      </c>
      <c r="E791" s="2">
        <f t="shared" si="50"/>
        <v>782</v>
      </c>
      <c r="F791" s="2">
        <f t="shared" si="51"/>
        <v>199.5</v>
      </c>
      <c r="G791" s="2">
        <f t="shared" si="52"/>
        <v>582.5</v>
      </c>
      <c r="H791" s="2">
        <f t="shared" si="49"/>
        <v>339306.25</v>
      </c>
    </row>
    <row r="792" spans="1:8" x14ac:dyDescent="0.25">
      <c r="A792" s="7">
        <v>100</v>
      </c>
      <c r="B792">
        <v>0</v>
      </c>
      <c r="C792" s="7">
        <v>100</v>
      </c>
      <c r="D792">
        <v>0</v>
      </c>
      <c r="E792" s="2">
        <f t="shared" si="50"/>
        <v>782</v>
      </c>
      <c r="F792" s="2">
        <f t="shared" si="51"/>
        <v>199.5</v>
      </c>
      <c r="G792" s="2">
        <f t="shared" si="52"/>
        <v>582.5</v>
      </c>
      <c r="H792" s="2">
        <f t="shared" si="49"/>
        <v>339306.25</v>
      </c>
    </row>
    <row r="793" spans="1:8" x14ac:dyDescent="0.25">
      <c r="A793" s="7">
        <v>55.555555555555557</v>
      </c>
      <c r="B793">
        <v>0</v>
      </c>
      <c r="C793" s="7">
        <v>55.555555555555557</v>
      </c>
      <c r="D793">
        <v>0</v>
      </c>
      <c r="E793" s="2">
        <f t="shared" si="50"/>
        <v>81.5</v>
      </c>
      <c r="F793" s="2">
        <f t="shared" si="51"/>
        <v>199.5</v>
      </c>
      <c r="G793" s="2">
        <f t="shared" si="52"/>
        <v>-118</v>
      </c>
      <c r="H793" s="2">
        <f t="shared" si="49"/>
        <v>13924</v>
      </c>
    </row>
    <row r="794" spans="1:8" x14ac:dyDescent="0.25">
      <c r="A794" s="7">
        <v>100</v>
      </c>
      <c r="B794">
        <v>0</v>
      </c>
      <c r="C794" s="7">
        <v>100</v>
      </c>
      <c r="D794">
        <v>0</v>
      </c>
      <c r="E794" s="2">
        <f t="shared" si="50"/>
        <v>782</v>
      </c>
      <c r="F794" s="2">
        <f t="shared" si="51"/>
        <v>199.5</v>
      </c>
      <c r="G794" s="2">
        <f t="shared" si="52"/>
        <v>582.5</v>
      </c>
      <c r="H794" s="2">
        <f t="shared" si="49"/>
        <v>339306.25</v>
      </c>
    </row>
    <row r="795" spans="1:8" x14ac:dyDescent="0.25">
      <c r="A795" s="7">
        <v>55.555555555555557</v>
      </c>
      <c r="B795">
        <v>0</v>
      </c>
      <c r="C795" s="7">
        <v>55.555555555555557</v>
      </c>
      <c r="D795">
        <v>0</v>
      </c>
      <c r="E795" s="2">
        <f t="shared" si="50"/>
        <v>81.5</v>
      </c>
      <c r="F795" s="2">
        <f t="shared" si="51"/>
        <v>199.5</v>
      </c>
      <c r="G795" s="2">
        <f t="shared" si="52"/>
        <v>-118</v>
      </c>
      <c r="H795" s="2">
        <f t="shared" si="49"/>
        <v>13924</v>
      </c>
    </row>
    <row r="796" spans="1:8" x14ac:dyDescent="0.25">
      <c r="A796" s="7">
        <v>55.555555555555557</v>
      </c>
      <c r="B796">
        <v>0</v>
      </c>
      <c r="C796" s="7">
        <v>55.555555555555557</v>
      </c>
      <c r="D796">
        <v>0</v>
      </c>
      <c r="E796" s="2">
        <f t="shared" si="50"/>
        <v>81.5</v>
      </c>
      <c r="F796" s="2">
        <f t="shared" si="51"/>
        <v>199.5</v>
      </c>
      <c r="G796" s="2">
        <f t="shared" si="52"/>
        <v>-118</v>
      </c>
      <c r="H796" s="2">
        <f t="shared" si="49"/>
        <v>13924</v>
      </c>
    </row>
    <row r="797" spans="1:8" x14ac:dyDescent="0.25">
      <c r="A797" s="7">
        <v>0</v>
      </c>
      <c r="B797">
        <v>0</v>
      </c>
      <c r="C797" s="7">
        <v>0</v>
      </c>
      <c r="D797">
        <v>0</v>
      </c>
      <c r="E797" s="2">
        <f t="shared" si="50"/>
        <v>20</v>
      </c>
      <c r="F797" s="2">
        <f t="shared" si="51"/>
        <v>199.5</v>
      </c>
      <c r="G797" s="2">
        <f t="shared" si="52"/>
        <v>-179.5</v>
      </c>
      <c r="H797" s="2">
        <f t="shared" si="49"/>
        <v>32220.25</v>
      </c>
    </row>
    <row r="798" spans="1:8" x14ac:dyDescent="0.25">
      <c r="A798" s="7">
        <v>0</v>
      </c>
      <c r="B798">
        <v>0</v>
      </c>
      <c r="C798" s="7">
        <v>0</v>
      </c>
      <c r="D798">
        <v>0</v>
      </c>
      <c r="E798" s="2">
        <f t="shared" si="50"/>
        <v>20</v>
      </c>
      <c r="F798" s="2">
        <f t="shared" si="51"/>
        <v>199.5</v>
      </c>
      <c r="G798" s="2">
        <f t="shared" si="52"/>
        <v>-179.5</v>
      </c>
      <c r="H798" s="2">
        <f t="shared" si="49"/>
        <v>32220.25</v>
      </c>
    </row>
    <row r="799" spans="1:8" x14ac:dyDescent="0.25">
      <c r="A799" s="7">
        <v>0</v>
      </c>
      <c r="B799">
        <v>0</v>
      </c>
      <c r="C799" s="7">
        <v>0</v>
      </c>
      <c r="D799">
        <v>0</v>
      </c>
      <c r="E799" s="2">
        <f t="shared" si="50"/>
        <v>20</v>
      </c>
      <c r="F799" s="2">
        <f t="shared" si="51"/>
        <v>199.5</v>
      </c>
      <c r="G799" s="2">
        <f t="shared" si="52"/>
        <v>-179.5</v>
      </c>
      <c r="H799" s="2">
        <f t="shared" si="49"/>
        <v>32220.25</v>
      </c>
    </row>
    <row r="800" spans="1:8" x14ac:dyDescent="0.25">
      <c r="A800" s="7">
        <v>90</v>
      </c>
      <c r="B800">
        <v>66.666666666666657</v>
      </c>
      <c r="C800" s="7">
        <v>90</v>
      </c>
      <c r="D800">
        <v>66.666666666666657</v>
      </c>
      <c r="E800" s="2">
        <f t="shared" si="50"/>
        <v>330</v>
      </c>
      <c r="F800" s="2">
        <f t="shared" si="51"/>
        <v>519.5</v>
      </c>
      <c r="G800" s="2">
        <f t="shared" si="52"/>
        <v>-189.5</v>
      </c>
      <c r="H800" s="2">
        <f t="shared" si="49"/>
        <v>35910.25</v>
      </c>
    </row>
    <row r="801" spans="1:8" x14ac:dyDescent="0.25">
      <c r="A801" s="7">
        <v>100</v>
      </c>
      <c r="B801">
        <v>0</v>
      </c>
      <c r="C801" s="7">
        <v>100</v>
      </c>
      <c r="D801">
        <v>0</v>
      </c>
      <c r="E801" s="2">
        <f t="shared" si="50"/>
        <v>782</v>
      </c>
      <c r="F801" s="2">
        <f t="shared" si="51"/>
        <v>199.5</v>
      </c>
      <c r="G801" s="2">
        <f t="shared" si="52"/>
        <v>582.5</v>
      </c>
      <c r="H801" s="2">
        <f t="shared" si="49"/>
        <v>339306.25</v>
      </c>
    </row>
    <row r="802" spans="1:8" x14ac:dyDescent="0.25">
      <c r="A802" s="7">
        <v>100</v>
      </c>
      <c r="B802">
        <v>0</v>
      </c>
      <c r="C802" s="7">
        <v>100</v>
      </c>
      <c r="D802">
        <v>0</v>
      </c>
      <c r="E802" s="2">
        <f t="shared" si="50"/>
        <v>782</v>
      </c>
      <c r="F802" s="2">
        <f t="shared" si="51"/>
        <v>199.5</v>
      </c>
      <c r="G802" s="2">
        <f t="shared" si="52"/>
        <v>582.5</v>
      </c>
      <c r="H802" s="2">
        <f t="shared" si="49"/>
        <v>339306.25</v>
      </c>
    </row>
    <row r="803" spans="1:8" x14ac:dyDescent="0.25">
      <c r="A803" s="7">
        <v>100</v>
      </c>
      <c r="B803">
        <v>0</v>
      </c>
      <c r="C803" s="7">
        <v>100</v>
      </c>
      <c r="D803">
        <v>0</v>
      </c>
      <c r="E803" s="2">
        <f t="shared" si="50"/>
        <v>782</v>
      </c>
      <c r="F803" s="2">
        <f t="shared" si="51"/>
        <v>199.5</v>
      </c>
      <c r="G803" s="2">
        <f t="shared" si="52"/>
        <v>582.5</v>
      </c>
      <c r="H803" s="2">
        <f t="shared" si="49"/>
        <v>339306.25</v>
      </c>
    </row>
    <row r="804" spans="1:8" x14ac:dyDescent="0.25">
      <c r="A804" s="7">
        <v>100</v>
      </c>
      <c r="B804">
        <v>86.607142857142861</v>
      </c>
      <c r="C804" s="7">
        <v>100</v>
      </c>
      <c r="D804">
        <v>86.607142857142861</v>
      </c>
      <c r="E804" s="2">
        <f t="shared" si="50"/>
        <v>782</v>
      </c>
      <c r="F804" s="2">
        <f t="shared" si="51"/>
        <v>736</v>
      </c>
      <c r="G804" s="2">
        <f t="shared" si="52"/>
        <v>46</v>
      </c>
      <c r="H804" s="2">
        <f t="shared" si="49"/>
        <v>2116</v>
      </c>
    </row>
    <row r="805" spans="1:8" x14ac:dyDescent="0.25">
      <c r="A805" s="7">
        <v>100</v>
      </c>
      <c r="B805">
        <v>0</v>
      </c>
      <c r="C805" s="7">
        <v>100</v>
      </c>
      <c r="D805">
        <v>0</v>
      </c>
      <c r="E805" s="2">
        <f t="shared" si="50"/>
        <v>782</v>
      </c>
      <c r="F805" s="2">
        <f t="shared" si="51"/>
        <v>199.5</v>
      </c>
      <c r="G805" s="2">
        <f t="shared" si="52"/>
        <v>582.5</v>
      </c>
      <c r="H805" s="2">
        <f t="shared" si="49"/>
        <v>339306.25</v>
      </c>
    </row>
    <row r="806" spans="1:8" x14ac:dyDescent="0.25">
      <c r="A806" s="7">
        <v>100</v>
      </c>
      <c r="B806">
        <v>92.553191489361694</v>
      </c>
      <c r="C806" s="7">
        <v>100</v>
      </c>
      <c r="D806">
        <v>92.553191489361694</v>
      </c>
      <c r="E806" s="2">
        <f t="shared" si="50"/>
        <v>782</v>
      </c>
      <c r="F806" s="2">
        <f t="shared" si="51"/>
        <v>830</v>
      </c>
      <c r="G806" s="2">
        <f t="shared" si="52"/>
        <v>-48</v>
      </c>
      <c r="H806" s="2">
        <f t="shared" si="49"/>
        <v>2304</v>
      </c>
    </row>
    <row r="807" spans="1:8" x14ac:dyDescent="0.25">
      <c r="A807" s="7">
        <v>99.650349650349639</v>
      </c>
      <c r="B807">
        <v>97.68392370572208</v>
      </c>
      <c r="C807" s="7">
        <v>99.650349650349639</v>
      </c>
      <c r="D807">
        <v>97.68392370572208</v>
      </c>
      <c r="E807" s="2">
        <f t="shared" si="50"/>
        <v>560</v>
      </c>
      <c r="F807" s="2">
        <f t="shared" si="51"/>
        <v>877</v>
      </c>
      <c r="G807" s="2">
        <f t="shared" si="52"/>
        <v>-317</v>
      </c>
      <c r="H807" s="2">
        <f t="shared" si="49"/>
        <v>100489</v>
      </c>
    </row>
    <row r="808" spans="1:8" x14ac:dyDescent="0.25">
      <c r="A808" s="7">
        <v>100</v>
      </c>
      <c r="B808">
        <v>0</v>
      </c>
      <c r="C808" s="7">
        <v>100</v>
      </c>
      <c r="D808">
        <v>0</v>
      </c>
      <c r="E808" s="2">
        <f t="shared" si="50"/>
        <v>782</v>
      </c>
      <c r="F808" s="2">
        <f t="shared" si="51"/>
        <v>199.5</v>
      </c>
      <c r="G808" s="2">
        <f t="shared" si="52"/>
        <v>582.5</v>
      </c>
      <c r="H808" s="2">
        <f t="shared" si="49"/>
        <v>339306.25</v>
      </c>
    </row>
    <row r="809" spans="1:8" x14ac:dyDescent="0.25">
      <c r="A809" s="7">
        <v>100</v>
      </c>
      <c r="B809">
        <v>0</v>
      </c>
      <c r="C809" s="7">
        <v>100</v>
      </c>
      <c r="D809">
        <v>0</v>
      </c>
      <c r="E809" s="2">
        <f t="shared" si="50"/>
        <v>782</v>
      </c>
      <c r="F809" s="2">
        <f t="shared" si="51"/>
        <v>199.5</v>
      </c>
      <c r="G809" s="2">
        <f t="shared" si="52"/>
        <v>582.5</v>
      </c>
      <c r="H809" s="2">
        <f t="shared" si="49"/>
        <v>339306.25</v>
      </c>
    </row>
    <row r="810" spans="1:8" x14ac:dyDescent="0.25">
      <c r="A810" s="7">
        <v>98.406374501992033</v>
      </c>
      <c r="B810">
        <v>89.552238805970148</v>
      </c>
      <c r="C810" s="7">
        <v>98.406374501992033</v>
      </c>
      <c r="D810">
        <v>89.552238805970148</v>
      </c>
      <c r="E810" s="2">
        <f t="shared" si="50"/>
        <v>542</v>
      </c>
      <c r="F810" s="2">
        <f t="shared" si="51"/>
        <v>793</v>
      </c>
      <c r="G810" s="2">
        <f t="shared" si="52"/>
        <v>-251</v>
      </c>
      <c r="H810" s="2">
        <f t="shared" si="49"/>
        <v>63001</v>
      </c>
    </row>
    <row r="811" spans="1:8" x14ac:dyDescent="0.25">
      <c r="A811" s="7">
        <v>100</v>
      </c>
      <c r="B811">
        <v>100</v>
      </c>
      <c r="C811" s="7">
        <v>100</v>
      </c>
      <c r="D811">
        <v>100</v>
      </c>
      <c r="E811" s="2">
        <f t="shared" si="50"/>
        <v>782</v>
      </c>
      <c r="F811" s="2">
        <f t="shared" si="51"/>
        <v>943.5</v>
      </c>
      <c r="G811" s="2">
        <f t="shared" si="52"/>
        <v>-161.5</v>
      </c>
      <c r="H811" s="2">
        <f t="shared" si="49"/>
        <v>26082.25</v>
      </c>
    </row>
    <row r="812" spans="1:8" x14ac:dyDescent="0.25">
      <c r="A812" s="7">
        <v>100</v>
      </c>
      <c r="B812">
        <v>0</v>
      </c>
      <c r="C812" s="7">
        <v>100</v>
      </c>
      <c r="D812">
        <v>0</v>
      </c>
      <c r="E812" s="2">
        <f t="shared" si="50"/>
        <v>782</v>
      </c>
      <c r="F812" s="2">
        <f t="shared" si="51"/>
        <v>199.5</v>
      </c>
      <c r="G812" s="2">
        <f t="shared" si="52"/>
        <v>582.5</v>
      </c>
      <c r="H812" s="2">
        <f t="shared" si="49"/>
        <v>339306.25</v>
      </c>
    </row>
    <row r="813" spans="1:8" x14ac:dyDescent="0.25">
      <c r="A813" s="7">
        <v>100</v>
      </c>
      <c r="B813">
        <v>100</v>
      </c>
      <c r="C813" s="7">
        <v>100</v>
      </c>
      <c r="D813">
        <v>100</v>
      </c>
      <c r="E813" s="2">
        <f t="shared" si="50"/>
        <v>782</v>
      </c>
      <c r="F813" s="2">
        <f t="shared" si="51"/>
        <v>943.5</v>
      </c>
      <c r="G813" s="2">
        <f t="shared" si="52"/>
        <v>-161.5</v>
      </c>
      <c r="H813" s="2">
        <f t="shared" si="49"/>
        <v>26082.25</v>
      </c>
    </row>
    <row r="814" spans="1:8" x14ac:dyDescent="0.25">
      <c r="A814" s="7">
        <v>100</v>
      </c>
      <c r="B814">
        <v>63.636363636363633</v>
      </c>
      <c r="C814" s="7">
        <v>100</v>
      </c>
      <c r="D814">
        <v>63.636363636363633</v>
      </c>
      <c r="E814" s="2">
        <f t="shared" si="50"/>
        <v>782</v>
      </c>
      <c r="F814" s="2">
        <f t="shared" si="51"/>
        <v>499</v>
      </c>
      <c r="G814" s="2">
        <f t="shared" si="52"/>
        <v>283</v>
      </c>
      <c r="H814" s="2">
        <f t="shared" si="49"/>
        <v>80089</v>
      </c>
    </row>
    <row r="815" spans="1:8" x14ac:dyDescent="0.25">
      <c r="A815" s="7">
        <v>96</v>
      </c>
      <c r="B815">
        <v>77.777777777777786</v>
      </c>
      <c r="C815" s="7">
        <v>96</v>
      </c>
      <c r="D815">
        <v>77.777777777777786</v>
      </c>
      <c r="E815" s="2">
        <f t="shared" si="50"/>
        <v>472.5</v>
      </c>
      <c r="F815" s="2">
        <f t="shared" si="51"/>
        <v>631</v>
      </c>
      <c r="G815" s="2">
        <f t="shared" si="52"/>
        <v>-158.5</v>
      </c>
      <c r="H815" s="2">
        <f t="shared" si="49"/>
        <v>25122.25</v>
      </c>
    </row>
    <row r="816" spans="1:8" x14ac:dyDescent="0.25">
      <c r="A816" s="7">
        <v>93.75</v>
      </c>
      <c r="B816">
        <v>87.5</v>
      </c>
      <c r="C816" s="7">
        <v>93.75</v>
      </c>
      <c r="D816">
        <v>87.5</v>
      </c>
      <c r="E816" s="2">
        <f t="shared" si="50"/>
        <v>414</v>
      </c>
      <c r="F816" s="2">
        <f t="shared" si="51"/>
        <v>753</v>
      </c>
      <c r="G816" s="2">
        <f t="shared" si="52"/>
        <v>-339</v>
      </c>
      <c r="H816" s="2">
        <f t="shared" si="49"/>
        <v>114921</v>
      </c>
    </row>
    <row r="817" spans="1:8" x14ac:dyDescent="0.25">
      <c r="A817" s="7">
        <v>100</v>
      </c>
      <c r="B817">
        <v>0</v>
      </c>
      <c r="C817" s="7">
        <v>100</v>
      </c>
      <c r="D817">
        <v>0</v>
      </c>
      <c r="E817" s="2">
        <f t="shared" si="50"/>
        <v>782</v>
      </c>
      <c r="F817" s="2">
        <f t="shared" si="51"/>
        <v>199.5</v>
      </c>
      <c r="G817" s="2">
        <f t="shared" si="52"/>
        <v>582.5</v>
      </c>
      <c r="H817" s="2">
        <f t="shared" si="49"/>
        <v>339306.25</v>
      </c>
    </row>
    <row r="818" spans="1:8" x14ac:dyDescent="0.25">
      <c r="A818" s="7">
        <v>100</v>
      </c>
      <c r="B818">
        <v>100</v>
      </c>
      <c r="C818" s="7">
        <v>100</v>
      </c>
      <c r="D818">
        <v>100</v>
      </c>
      <c r="E818" s="2">
        <f t="shared" si="50"/>
        <v>782</v>
      </c>
      <c r="F818" s="2">
        <f t="shared" si="51"/>
        <v>943.5</v>
      </c>
      <c r="G818" s="2">
        <f t="shared" si="52"/>
        <v>-161.5</v>
      </c>
      <c r="H818" s="2">
        <f t="shared" si="49"/>
        <v>26082.25</v>
      </c>
    </row>
    <row r="819" spans="1:8" x14ac:dyDescent="0.25">
      <c r="A819" s="7">
        <v>100</v>
      </c>
      <c r="B819">
        <v>0</v>
      </c>
      <c r="C819" s="7">
        <v>100</v>
      </c>
      <c r="D819">
        <v>0</v>
      </c>
      <c r="E819" s="2">
        <f t="shared" si="50"/>
        <v>782</v>
      </c>
      <c r="F819" s="2">
        <f t="shared" si="51"/>
        <v>199.5</v>
      </c>
      <c r="G819" s="2">
        <f t="shared" si="52"/>
        <v>582.5</v>
      </c>
      <c r="H819" s="2">
        <f t="shared" si="49"/>
        <v>339306.25</v>
      </c>
    </row>
    <row r="820" spans="1:8" x14ac:dyDescent="0.25">
      <c r="A820" s="7">
        <v>97.435897435897431</v>
      </c>
      <c r="B820">
        <v>0</v>
      </c>
      <c r="C820" s="7">
        <v>97.435897435897431</v>
      </c>
      <c r="D820">
        <v>0</v>
      </c>
      <c r="E820" s="2">
        <f t="shared" si="50"/>
        <v>515</v>
      </c>
      <c r="F820" s="2">
        <f t="shared" si="51"/>
        <v>199.5</v>
      </c>
      <c r="G820" s="2">
        <f t="shared" si="52"/>
        <v>315.5</v>
      </c>
      <c r="H820" s="2">
        <f t="shared" si="49"/>
        <v>99540.25</v>
      </c>
    </row>
    <row r="821" spans="1:8" x14ac:dyDescent="0.25">
      <c r="A821" s="7">
        <v>100</v>
      </c>
      <c r="B821">
        <v>0</v>
      </c>
      <c r="C821" s="7">
        <v>100</v>
      </c>
      <c r="D821">
        <v>0</v>
      </c>
      <c r="E821" s="2">
        <f t="shared" si="50"/>
        <v>782</v>
      </c>
      <c r="F821" s="2">
        <f t="shared" si="51"/>
        <v>199.5</v>
      </c>
      <c r="G821" s="2">
        <f t="shared" si="52"/>
        <v>582.5</v>
      </c>
      <c r="H821" s="2">
        <f t="shared" si="49"/>
        <v>339306.25</v>
      </c>
    </row>
    <row r="822" spans="1:8" x14ac:dyDescent="0.25">
      <c r="A822" s="7">
        <v>93.253968253968253</v>
      </c>
      <c r="B822">
        <v>65.800865800865807</v>
      </c>
      <c r="C822" s="7">
        <v>93.253968253968253</v>
      </c>
      <c r="D822">
        <v>65.800865800865807</v>
      </c>
      <c r="E822" s="2">
        <f t="shared" si="50"/>
        <v>409</v>
      </c>
      <c r="F822" s="2">
        <f t="shared" si="51"/>
        <v>510</v>
      </c>
      <c r="G822" s="2">
        <f t="shared" si="52"/>
        <v>-101</v>
      </c>
      <c r="H822" s="2">
        <f t="shared" si="49"/>
        <v>10201</v>
      </c>
    </row>
    <row r="823" spans="1:8" x14ac:dyDescent="0.25">
      <c r="A823" s="7">
        <v>95.833333333333343</v>
      </c>
      <c r="B823">
        <v>76.470588235294116</v>
      </c>
      <c r="C823" s="7">
        <v>95.833333333333343</v>
      </c>
      <c r="D823">
        <v>76.470588235294116</v>
      </c>
      <c r="E823" s="2">
        <f t="shared" si="50"/>
        <v>467</v>
      </c>
      <c r="F823" s="2">
        <f t="shared" si="51"/>
        <v>620.5</v>
      </c>
      <c r="G823" s="2">
        <f t="shared" si="52"/>
        <v>-153.5</v>
      </c>
      <c r="H823" s="2">
        <f t="shared" si="49"/>
        <v>23562.25</v>
      </c>
    </row>
    <row r="824" spans="1:8" x14ac:dyDescent="0.25">
      <c r="A824" s="7">
        <v>100</v>
      </c>
      <c r="B824">
        <v>0</v>
      </c>
      <c r="C824" s="7">
        <v>100</v>
      </c>
      <c r="D824">
        <v>0</v>
      </c>
      <c r="E824" s="2">
        <f t="shared" si="50"/>
        <v>782</v>
      </c>
      <c r="F824" s="2">
        <f t="shared" si="51"/>
        <v>199.5</v>
      </c>
      <c r="G824" s="2">
        <f t="shared" si="52"/>
        <v>582.5</v>
      </c>
      <c r="H824" s="2">
        <f t="shared" si="49"/>
        <v>339306.25</v>
      </c>
    </row>
    <row r="825" spans="1:8" x14ac:dyDescent="0.25">
      <c r="A825" s="7">
        <v>100</v>
      </c>
      <c r="B825">
        <v>100</v>
      </c>
      <c r="C825" s="7">
        <v>100</v>
      </c>
      <c r="D825">
        <v>100</v>
      </c>
      <c r="E825" s="2">
        <f t="shared" si="50"/>
        <v>782</v>
      </c>
      <c r="F825" s="2">
        <f t="shared" si="51"/>
        <v>943.5</v>
      </c>
      <c r="G825" s="2">
        <f t="shared" si="52"/>
        <v>-161.5</v>
      </c>
      <c r="H825" s="2">
        <f t="shared" ref="H825:H888" si="53">IF(C825="","",G825^2)</f>
        <v>26082.25</v>
      </c>
    </row>
    <row r="826" spans="1:8" x14ac:dyDescent="0.25">
      <c r="A826" s="7">
        <v>100</v>
      </c>
      <c r="B826">
        <v>0</v>
      </c>
      <c r="C826" s="7">
        <v>100</v>
      </c>
      <c r="D826">
        <v>0</v>
      </c>
      <c r="E826" s="2">
        <f t="shared" si="50"/>
        <v>782</v>
      </c>
      <c r="F826" s="2">
        <f t="shared" si="51"/>
        <v>199.5</v>
      </c>
      <c r="G826" s="2">
        <f t="shared" si="52"/>
        <v>582.5</v>
      </c>
      <c r="H826" s="2">
        <f t="shared" si="53"/>
        <v>339306.25</v>
      </c>
    </row>
    <row r="827" spans="1:8" x14ac:dyDescent="0.25">
      <c r="A827" s="7">
        <v>100</v>
      </c>
      <c r="B827">
        <v>0</v>
      </c>
      <c r="C827" s="7">
        <v>100</v>
      </c>
      <c r="D827">
        <v>0</v>
      </c>
      <c r="E827" s="2">
        <f t="shared" si="50"/>
        <v>782</v>
      </c>
      <c r="F827" s="2">
        <f t="shared" si="51"/>
        <v>199.5</v>
      </c>
      <c r="G827" s="2">
        <f t="shared" si="52"/>
        <v>582.5</v>
      </c>
      <c r="H827" s="2">
        <f t="shared" si="53"/>
        <v>339306.25</v>
      </c>
    </row>
    <row r="828" spans="1:8" x14ac:dyDescent="0.25">
      <c r="A828" s="7">
        <v>77.777777777777786</v>
      </c>
      <c r="B828">
        <v>0</v>
      </c>
      <c r="C828" s="7">
        <v>77.777777777777786</v>
      </c>
      <c r="D828">
        <v>0</v>
      </c>
      <c r="E828" s="2">
        <f t="shared" si="50"/>
        <v>160</v>
      </c>
      <c r="F828" s="2">
        <f t="shared" si="51"/>
        <v>199.5</v>
      </c>
      <c r="G828" s="2">
        <f t="shared" si="52"/>
        <v>-39.5</v>
      </c>
      <c r="H828" s="2">
        <f t="shared" si="53"/>
        <v>1560.25</v>
      </c>
    </row>
    <row r="829" spans="1:8" x14ac:dyDescent="0.25">
      <c r="A829" s="7">
        <v>100</v>
      </c>
      <c r="B829">
        <v>100</v>
      </c>
      <c r="C829" s="7">
        <v>100</v>
      </c>
      <c r="D829">
        <v>100</v>
      </c>
      <c r="E829" s="2">
        <f t="shared" si="50"/>
        <v>782</v>
      </c>
      <c r="F829" s="2">
        <f t="shared" si="51"/>
        <v>943.5</v>
      </c>
      <c r="G829" s="2">
        <f t="shared" si="52"/>
        <v>-161.5</v>
      </c>
      <c r="H829" s="2">
        <f t="shared" si="53"/>
        <v>26082.25</v>
      </c>
    </row>
    <row r="830" spans="1:8" x14ac:dyDescent="0.25">
      <c r="A830" s="7">
        <v>92.857142857142861</v>
      </c>
      <c r="B830">
        <v>72.972972972972968</v>
      </c>
      <c r="C830" s="7">
        <v>92.857142857142861</v>
      </c>
      <c r="D830">
        <v>72.972972972972968</v>
      </c>
      <c r="E830" s="2">
        <f t="shared" si="50"/>
        <v>400.5</v>
      </c>
      <c r="F830" s="2">
        <f t="shared" si="51"/>
        <v>586.5</v>
      </c>
      <c r="G830" s="2">
        <f t="shared" si="52"/>
        <v>-186</v>
      </c>
      <c r="H830" s="2">
        <f t="shared" si="53"/>
        <v>34596</v>
      </c>
    </row>
    <row r="831" spans="1:8" x14ac:dyDescent="0.25">
      <c r="A831" s="7">
        <v>100</v>
      </c>
      <c r="B831">
        <v>100</v>
      </c>
      <c r="C831" s="7">
        <v>100</v>
      </c>
      <c r="D831">
        <v>100</v>
      </c>
      <c r="E831" s="2">
        <f t="shared" si="50"/>
        <v>782</v>
      </c>
      <c r="F831" s="2">
        <f t="shared" si="51"/>
        <v>943.5</v>
      </c>
      <c r="G831" s="2">
        <f t="shared" si="52"/>
        <v>-161.5</v>
      </c>
      <c r="H831" s="2">
        <f t="shared" si="53"/>
        <v>26082.25</v>
      </c>
    </row>
    <row r="832" spans="1:8" x14ac:dyDescent="0.25">
      <c r="A832" s="7">
        <v>89.65517241379311</v>
      </c>
      <c r="B832">
        <v>71.875</v>
      </c>
      <c r="C832" s="7">
        <v>89.65517241379311</v>
      </c>
      <c r="D832">
        <v>71.875</v>
      </c>
      <c r="E832" s="2">
        <f t="shared" si="50"/>
        <v>319.5</v>
      </c>
      <c r="F832" s="2">
        <f t="shared" si="51"/>
        <v>574.5</v>
      </c>
      <c r="G832" s="2">
        <f t="shared" si="52"/>
        <v>-255</v>
      </c>
      <c r="H832" s="2">
        <f t="shared" si="53"/>
        <v>65025</v>
      </c>
    </row>
    <row r="833" spans="1:8" x14ac:dyDescent="0.25">
      <c r="A833" s="7">
        <v>100</v>
      </c>
      <c r="B833">
        <v>0</v>
      </c>
      <c r="C833" s="7">
        <v>100</v>
      </c>
      <c r="D833">
        <v>0</v>
      </c>
      <c r="E833" s="2">
        <f t="shared" si="50"/>
        <v>782</v>
      </c>
      <c r="F833" s="2">
        <f t="shared" si="51"/>
        <v>199.5</v>
      </c>
      <c r="G833" s="2">
        <f t="shared" si="52"/>
        <v>582.5</v>
      </c>
      <c r="H833" s="2">
        <f t="shared" si="53"/>
        <v>339306.25</v>
      </c>
    </row>
    <row r="834" spans="1:8" x14ac:dyDescent="0.25">
      <c r="A834" s="7">
        <v>100</v>
      </c>
      <c r="B834">
        <v>0</v>
      </c>
      <c r="C834" s="7">
        <v>100</v>
      </c>
      <c r="D834">
        <v>0</v>
      </c>
      <c r="E834" s="2">
        <f t="shared" si="50"/>
        <v>782</v>
      </c>
      <c r="F834" s="2">
        <f t="shared" si="51"/>
        <v>199.5</v>
      </c>
      <c r="G834" s="2">
        <f t="shared" si="52"/>
        <v>582.5</v>
      </c>
      <c r="H834" s="2">
        <f t="shared" si="53"/>
        <v>339306.25</v>
      </c>
    </row>
    <row r="835" spans="1:8" x14ac:dyDescent="0.25">
      <c r="A835" s="7">
        <v>100</v>
      </c>
      <c r="B835">
        <v>0</v>
      </c>
      <c r="C835" s="7">
        <v>100</v>
      </c>
      <c r="D835">
        <v>0</v>
      </c>
      <c r="E835" s="2">
        <f t="shared" ref="E835:E898" si="54">IF(C835="","",_xlfn.RANK.AVG(C835,C$2:C$1003,1))</f>
        <v>782</v>
      </c>
      <c r="F835" s="2">
        <f t="shared" ref="F835:F898" si="55">IF(D835="","",_xlfn.RANK.AVG(D835,D$2:D$1003,1))</f>
        <v>199.5</v>
      </c>
      <c r="G835" s="2">
        <f t="shared" ref="G835:G898" si="56">IF(C835="","",E835-F835)</f>
        <v>582.5</v>
      </c>
      <c r="H835" s="2">
        <f t="shared" si="53"/>
        <v>339306.25</v>
      </c>
    </row>
    <row r="836" spans="1:8" x14ac:dyDescent="0.25">
      <c r="A836" s="7">
        <v>100</v>
      </c>
      <c r="B836">
        <v>85.714285714285708</v>
      </c>
      <c r="C836" s="7">
        <v>100</v>
      </c>
      <c r="D836">
        <v>85.714285714285708</v>
      </c>
      <c r="E836" s="2">
        <f t="shared" si="54"/>
        <v>782</v>
      </c>
      <c r="F836" s="2">
        <f t="shared" si="55"/>
        <v>720</v>
      </c>
      <c r="G836" s="2">
        <f t="shared" si="56"/>
        <v>62</v>
      </c>
      <c r="H836" s="2">
        <f t="shared" si="53"/>
        <v>3844</v>
      </c>
    </row>
    <row r="837" spans="1:8" x14ac:dyDescent="0.25">
      <c r="A837" s="7">
        <v>100</v>
      </c>
      <c r="B837">
        <v>0</v>
      </c>
      <c r="C837" s="7">
        <v>100</v>
      </c>
      <c r="D837">
        <v>0</v>
      </c>
      <c r="E837" s="2">
        <f t="shared" si="54"/>
        <v>782</v>
      </c>
      <c r="F837" s="2">
        <f t="shared" si="55"/>
        <v>199.5</v>
      </c>
      <c r="G837" s="2">
        <f t="shared" si="56"/>
        <v>582.5</v>
      </c>
      <c r="H837" s="2">
        <f t="shared" si="53"/>
        <v>339306.25</v>
      </c>
    </row>
    <row r="838" spans="1:8" x14ac:dyDescent="0.25">
      <c r="A838" s="7">
        <v>100</v>
      </c>
      <c r="B838">
        <v>63.636363636363633</v>
      </c>
      <c r="C838" s="7">
        <v>100</v>
      </c>
      <c r="D838">
        <v>63.636363636363633</v>
      </c>
      <c r="E838" s="2">
        <f t="shared" si="54"/>
        <v>782</v>
      </c>
      <c r="F838" s="2">
        <f t="shared" si="55"/>
        <v>499</v>
      </c>
      <c r="G838" s="2">
        <f t="shared" si="56"/>
        <v>283</v>
      </c>
      <c r="H838" s="2">
        <f t="shared" si="53"/>
        <v>80089</v>
      </c>
    </row>
    <row r="839" spans="1:8" x14ac:dyDescent="0.25">
      <c r="A839" s="7">
        <v>92.10526315789474</v>
      </c>
      <c r="B839">
        <v>100</v>
      </c>
      <c r="C839" s="7">
        <v>92.10526315789474</v>
      </c>
      <c r="D839">
        <v>100</v>
      </c>
      <c r="E839" s="2">
        <f t="shared" si="54"/>
        <v>381.5</v>
      </c>
      <c r="F839" s="2">
        <f t="shared" si="55"/>
        <v>943.5</v>
      </c>
      <c r="G839" s="2">
        <f t="shared" si="56"/>
        <v>-562</v>
      </c>
      <c r="H839" s="2">
        <f t="shared" si="53"/>
        <v>315844</v>
      </c>
    </row>
    <row r="840" spans="1:8" x14ac:dyDescent="0.25">
      <c r="A840" s="7">
        <v>100</v>
      </c>
      <c r="B840">
        <v>100</v>
      </c>
      <c r="C840" s="7">
        <v>100</v>
      </c>
      <c r="D840">
        <v>100</v>
      </c>
      <c r="E840" s="2">
        <f t="shared" si="54"/>
        <v>782</v>
      </c>
      <c r="F840" s="2">
        <f t="shared" si="55"/>
        <v>943.5</v>
      </c>
      <c r="G840" s="2">
        <f t="shared" si="56"/>
        <v>-161.5</v>
      </c>
      <c r="H840" s="2">
        <f t="shared" si="53"/>
        <v>26082.25</v>
      </c>
    </row>
    <row r="841" spans="1:8" x14ac:dyDescent="0.25">
      <c r="A841" s="7">
        <v>100</v>
      </c>
      <c r="B841">
        <v>0</v>
      </c>
      <c r="C841" s="7">
        <v>100</v>
      </c>
      <c r="D841">
        <v>0</v>
      </c>
      <c r="E841" s="2">
        <f t="shared" si="54"/>
        <v>782</v>
      </c>
      <c r="F841" s="2">
        <f t="shared" si="55"/>
        <v>199.5</v>
      </c>
      <c r="G841" s="2">
        <f t="shared" si="56"/>
        <v>582.5</v>
      </c>
      <c r="H841" s="2">
        <f t="shared" si="53"/>
        <v>339306.25</v>
      </c>
    </row>
    <row r="842" spans="1:8" x14ac:dyDescent="0.25">
      <c r="A842" s="7">
        <v>100</v>
      </c>
      <c r="B842">
        <v>0</v>
      </c>
      <c r="C842" s="7">
        <v>100</v>
      </c>
      <c r="D842">
        <v>0</v>
      </c>
      <c r="E842" s="2">
        <f t="shared" si="54"/>
        <v>782</v>
      </c>
      <c r="F842" s="2">
        <f t="shared" si="55"/>
        <v>199.5</v>
      </c>
      <c r="G842" s="2">
        <f t="shared" si="56"/>
        <v>582.5</v>
      </c>
      <c r="H842" s="2">
        <f t="shared" si="53"/>
        <v>339306.25</v>
      </c>
    </row>
    <row r="843" spans="1:8" x14ac:dyDescent="0.25">
      <c r="A843" s="7">
        <v>100</v>
      </c>
      <c r="B843">
        <v>0</v>
      </c>
      <c r="C843" s="7">
        <v>100</v>
      </c>
      <c r="D843">
        <v>0</v>
      </c>
      <c r="E843" s="2">
        <f t="shared" si="54"/>
        <v>782</v>
      </c>
      <c r="F843" s="2">
        <f t="shared" si="55"/>
        <v>199.5</v>
      </c>
      <c r="G843" s="2">
        <f t="shared" si="56"/>
        <v>582.5</v>
      </c>
      <c r="H843" s="2">
        <f t="shared" si="53"/>
        <v>339306.25</v>
      </c>
    </row>
    <row r="844" spans="1:8" x14ac:dyDescent="0.25">
      <c r="A844" s="7">
        <v>100</v>
      </c>
      <c r="B844">
        <v>100</v>
      </c>
      <c r="C844" s="7">
        <v>100</v>
      </c>
      <c r="D844">
        <v>100</v>
      </c>
      <c r="E844" s="2">
        <f t="shared" si="54"/>
        <v>782</v>
      </c>
      <c r="F844" s="2">
        <f t="shared" si="55"/>
        <v>943.5</v>
      </c>
      <c r="G844" s="2">
        <f t="shared" si="56"/>
        <v>-161.5</v>
      </c>
      <c r="H844" s="2">
        <f t="shared" si="53"/>
        <v>26082.25</v>
      </c>
    </row>
    <row r="845" spans="1:8" x14ac:dyDescent="0.25">
      <c r="A845" s="7">
        <v>0</v>
      </c>
      <c r="B845">
        <v>0</v>
      </c>
      <c r="C845" s="7">
        <v>0</v>
      </c>
      <c r="D845">
        <v>0</v>
      </c>
      <c r="E845" s="2">
        <f t="shared" si="54"/>
        <v>20</v>
      </c>
      <c r="F845" s="2">
        <f t="shared" si="55"/>
        <v>199.5</v>
      </c>
      <c r="G845" s="2">
        <f t="shared" si="56"/>
        <v>-179.5</v>
      </c>
      <c r="H845" s="2">
        <f t="shared" si="53"/>
        <v>32220.25</v>
      </c>
    </row>
    <row r="846" spans="1:8" x14ac:dyDescent="0.25">
      <c r="A846" s="7">
        <v>89.473684210526315</v>
      </c>
      <c r="B846">
        <v>68.695652173913047</v>
      </c>
      <c r="C846" s="7">
        <v>89.473684210526315</v>
      </c>
      <c r="D846">
        <v>68.695652173913047</v>
      </c>
      <c r="E846" s="2">
        <f t="shared" si="54"/>
        <v>313.5</v>
      </c>
      <c r="F846" s="2">
        <f t="shared" si="55"/>
        <v>540</v>
      </c>
      <c r="G846" s="2">
        <f t="shared" si="56"/>
        <v>-226.5</v>
      </c>
      <c r="H846" s="2">
        <f t="shared" si="53"/>
        <v>51302.25</v>
      </c>
    </row>
    <row r="847" spans="1:8" x14ac:dyDescent="0.25">
      <c r="A847" s="7">
        <v>100</v>
      </c>
      <c r="B847">
        <v>100</v>
      </c>
      <c r="C847" s="7">
        <v>100</v>
      </c>
      <c r="D847">
        <v>100</v>
      </c>
      <c r="E847" s="2">
        <f t="shared" si="54"/>
        <v>782</v>
      </c>
      <c r="F847" s="2">
        <f t="shared" si="55"/>
        <v>943.5</v>
      </c>
      <c r="G847" s="2">
        <f t="shared" si="56"/>
        <v>-161.5</v>
      </c>
      <c r="H847" s="2">
        <f t="shared" si="53"/>
        <v>26082.25</v>
      </c>
    </row>
    <row r="848" spans="1:8" x14ac:dyDescent="0.25">
      <c r="A848" s="7">
        <v>95.270270270270274</v>
      </c>
      <c r="B848">
        <v>89.690721649484544</v>
      </c>
      <c r="C848" s="7">
        <v>95.270270270270274</v>
      </c>
      <c r="D848">
        <v>89.690721649484544</v>
      </c>
      <c r="E848" s="2">
        <f t="shared" si="54"/>
        <v>448</v>
      </c>
      <c r="F848" s="2">
        <f t="shared" si="55"/>
        <v>796</v>
      </c>
      <c r="G848" s="2">
        <f t="shared" si="56"/>
        <v>-348</v>
      </c>
      <c r="H848" s="2">
        <f t="shared" si="53"/>
        <v>121104</v>
      </c>
    </row>
    <row r="849" spans="1:8" x14ac:dyDescent="0.25">
      <c r="A849" s="7">
        <v>97.674418604651152</v>
      </c>
      <c r="B849">
        <v>100</v>
      </c>
      <c r="C849" s="7">
        <v>97.674418604651152</v>
      </c>
      <c r="D849">
        <v>100</v>
      </c>
      <c r="E849" s="2">
        <f t="shared" si="54"/>
        <v>524</v>
      </c>
      <c r="F849" s="2">
        <f t="shared" si="55"/>
        <v>943.5</v>
      </c>
      <c r="G849" s="2">
        <f t="shared" si="56"/>
        <v>-419.5</v>
      </c>
      <c r="H849" s="2">
        <f t="shared" si="53"/>
        <v>175980.25</v>
      </c>
    </row>
    <row r="850" spans="1:8" x14ac:dyDescent="0.25">
      <c r="A850" s="7">
        <v>100</v>
      </c>
      <c r="B850">
        <v>88.461538461538453</v>
      </c>
      <c r="C850" s="7">
        <v>100</v>
      </c>
      <c r="D850">
        <v>88.461538461538453</v>
      </c>
      <c r="E850" s="2">
        <f t="shared" si="54"/>
        <v>782</v>
      </c>
      <c r="F850" s="2">
        <f t="shared" si="55"/>
        <v>770</v>
      </c>
      <c r="G850" s="2">
        <f t="shared" si="56"/>
        <v>12</v>
      </c>
      <c r="H850" s="2">
        <f t="shared" si="53"/>
        <v>144</v>
      </c>
    </row>
    <row r="851" spans="1:8" x14ac:dyDescent="0.25">
      <c r="A851" s="7">
        <v>100</v>
      </c>
      <c r="B851">
        <v>92.857142857142861</v>
      </c>
      <c r="C851" s="7">
        <v>100</v>
      </c>
      <c r="D851">
        <v>92.857142857142861</v>
      </c>
      <c r="E851" s="2">
        <f t="shared" si="54"/>
        <v>782</v>
      </c>
      <c r="F851" s="2">
        <f t="shared" si="55"/>
        <v>835</v>
      </c>
      <c r="G851" s="2">
        <f t="shared" si="56"/>
        <v>-53</v>
      </c>
      <c r="H851" s="2">
        <f t="shared" si="53"/>
        <v>2809</v>
      </c>
    </row>
    <row r="852" spans="1:8" x14ac:dyDescent="0.25">
      <c r="A852" s="7">
        <v>100</v>
      </c>
      <c r="B852">
        <v>89.65517241379311</v>
      </c>
      <c r="C852" s="7">
        <v>100</v>
      </c>
      <c r="D852">
        <v>89.65517241379311</v>
      </c>
      <c r="E852" s="2">
        <f t="shared" si="54"/>
        <v>782</v>
      </c>
      <c r="F852" s="2">
        <f t="shared" si="55"/>
        <v>795</v>
      </c>
      <c r="G852" s="2">
        <f t="shared" si="56"/>
        <v>-13</v>
      </c>
      <c r="H852" s="2">
        <f t="shared" si="53"/>
        <v>169</v>
      </c>
    </row>
    <row r="853" spans="1:8" x14ac:dyDescent="0.25">
      <c r="A853" s="7">
        <v>100</v>
      </c>
      <c r="B853">
        <v>0</v>
      </c>
      <c r="C853" s="7">
        <v>100</v>
      </c>
      <c r="D853">
        <v>0</v>
      </c>
      <c r="E853" s="2">
        <f t="shared" si="54"/>
        <v>782</v>
      </c>
      <c r="F853" s="2">
        <f t="shared" si="55"/>
        <v>199.5</v>
      </c>
      <c r="G853" s="2">
        <f t="shared" si="56"/>
        <v>582.5</v>
      </c>
      <c r="H853" s="2">
        <f t="shared" si="53"/>
        <v>339306.25</v>
      </c>
    </row>
    <row r="854" spans="1:8" x14ac:dyDescent="0.25">
      <c r="A854" s="7">
        <v>100</v>
      </c>
      <c r="B854">
        <v>0</v>
      </c>
      <c r="C854" s="7">
        <v>100</v>
      </c>
      <c r="D854">
        <v>0</v>
      </c>
      <c r="E854" s="2">
        <f t="shared" si="54"/>
        <v>782</v>
      </c>
      <c r="F854" s="2">
        <f t="shared" si="55"/>
        <v>199.5</v>
      </c>
      <c r="G854" s="2">
        <f t="shared" si="56"/>
        <v>582.5</v>
      </c>
      <c r="H854" s="2">
        <f t="shared" si="53"/>
        <v>339306.25</v>
      </c>
    </row>
    <row r="855" spans="1:8" x14ac:dyDescent="0.25">
      <c r="A855" s="7">
        <v>100</v>
      </c>
      <c r="B855">
        <v>0</v>
      </c>
      <c r="C855" s="7">
        <v>100</v>
      </c>
      <c r="D855">
        <v>0</v>
      </c>
      <c r="E855" s="2">
        <f t="shared" si="54"/>
        <v>782</v>
      </c>
      <c r="F855" s="2">
        <f t="shared" si="55"/>
        <v>199.5</v>
      </c>
      <c r="G855" s="2">
        <f t="shared" si="56"/>
        <v>582.5</v>
      </c>
      <c r="H855" s="2">
        <f t="shared" si="53"/>
        <v>339306.25</v>
      </c>
    </row>
    <row r="856" spans="1:8" x14ac:dyDescent="0.25">
      <c r="A856" s="7">
        <v>100</v>
      </c>
      <c r="B856">
        <v>0</v>
      </c>
      <c r="C856" s="7">
        <v>100</v>
      </c>
      <c r="D856">
        <v>0</v>
      </c>
      <c r="E856" s="2">
        <f t="shared" si="54"/>
        <v>782</v>
      </c>
      <c r="F856" s="2">
        <f t="shared" si="55"/>
        <v>199.5</v>
      </c>
      <c r="G856" s="2">
        <f t="shared" si="56"/>
        <v>582.5</v>
      </c>
      <c r="H856" s="2">
        <f t="shared" si="53"/>
        <v>339306.25</v>
      </c>
    </row>
    <row r="857" spans="1:8" x14ac:dyDescent="0.25">
      <c r="A857" s="7">
        <v>100</v>
      </c>
      <c r="B857">
        <v>100</v>
      </c>
      <c r="C857" s="7">
        <v>100</v>
      </c>
      <c r="D857">
        <v>100</v>
      </c>
      <c r="E857" s="2">
        <f t="shared" si="54"/>
        <v>782</v>
      </c>
      <c r="F857" s="2">
        <f t="shared" si="55"/>
        <v>943.5</v>
      </c>
      <c r="G857" s="2">
        <f t="shared" si="56"/>
        <v>-161.5</v>
      </c>
      <c r="H857" s="2">
        <f t="shared" si="53"/>
        <v>26082.25</v>
      </c>
    </row>
    <row r="858" spans="1:8" x14ac:dyDescent="0.25">
      <c r="A858" s="7">
        <v>100</v>
      </c>
      <c r="B858">
        <v>100</v>
      </c>
      <c r="C858" s="7">
        <v>100</v>
      </c>
      <c r="D858">
        <v>100</v>
      </c>
      <c r="E858" s="2">
        <f t="shared" si="54"/>
        <v>782</v>
      </c>
      <c r="F858" s="2">
        <f t="shared" si="55"/>
        <v>943.5</v>
      </c>
      <c r="G858" s="2">
        <f t="shared" si="56"/>
        <v>-161.5</v>
      </c>
      <c r="H858" s="2">
        <f t="shared" si="53"/>
        <v>26082.25</v>
      </c>
    </row>
    <row r="859" spans="1:8" x14ac:dyDescent="0.25">
      <c r="A859" s="7">
        <v>98.275862068965509</v>
      </c>
      <c r="B859">
        <v>70.491803278688522</v>
      </c>
      <c r="C859" s="7">
        <v>98.275862068965509</v>
      </c>
      <c r="D859">
        <v>70.491803278688522</v>
      </c>
      <c r="E859" s="2">
        <f t="shared" si="54"/>
        <v>540</v>
      </c>
      <c r="F859" s="2">
        <f t="shared" si="55"/>
        <v>556</v>
      </c>
      <c r="G859" s="2">
        <f t="shared" si="56"/>
        <v>-16</v>
      </c>
      <c r="H859" s="2">
        <f t="shared" si="53"/>
        <v>256</v>
      </c>
    </row>
    <row r="860" spans="1:8" x14ac:dyDescent="0.25">
      <c r="A860" s="7">
        <v>80</v>
      </c>
      <c r="B860">
        <v>100</v>
      </c>
      <c r="C860" s="7">
        <v>80</v>
      </c>
      <c r="D860">
        <v>100</v>
      </c>
      <c r="E860" s="2">
        <f t="shared" si="54"/>
        <v>179.5</v>
      </c>
      <c r="F860" s="2">
        <f t="shared" si="55"/>
        <v>943.5</v>
      </c>
      <c r="G860" s="2">
        <f t="shared" si="56"/>
        <v>-764</v>
      </c>
      <c r="H860" s="2">
        <f t="shared" si="53"/>
        <v>583696</v>
      </c>
    </row>
    <row r="861" spans="1:8" x14ac:dyDescent="0.25">
      <c r="A861" s="7">
        <v>50</v>
      </c>
      <c r="B861">
        <v>0</v>
      </c>
      <c r="C861" s="7">
        <v>50</v>
      </c>
      <c r="D861">
        <v>0</v>
      </c>
      <c r="E861" s="2">
        <f t="shared" si="54"/>
        <v>69</v>
      </c>
      <c r="F861" s="2">
        <f t="shared" si="55"/>
        <v>199.5</v>
      </c>
      <c r="G861" s="2">
        <f t="shared" si="56"/>
        <v>-130.5</v>
      </c>
      <c r="H861" s="2">
        <f t="shared" si="53"/>
        <v>17030.25</v>
      </c>
    </row>
    <row r="862" spans="1:8" x14ac:dyDescent="0.25">
      <c r="A862" s="7">
        <v>100</v>
      </c>
      <c r="B862">
        <v>0</v>
      </c>
      <c r="C862" s="7">
        <v>100</v>
      </c>
      <c r="D862">
        <v>0</v>
      </c>
      <c r="E862" s="2">
        <f t="shared" si="54"/>
        <v>782</v>
      </c>
      <c r="F862" s="2">
        <f t="shared" si="55"/>
        <v>199.5</v>
      </c>
      <c r="G862" s="2">
        <f t="shared" si="56"/>
        <v>582.5</v>
      </c>
      <c r="H862" s="2">
        <f t="shared" si="53"/>
        <v>339306.25</v>
      </c>
    </row>
    <row r="863" spans="1:8" x14ac:dyDescent="0.25">
      <c r="A863" s="7">
        <v>100</v>
      </c>
      <c r="B863">
        <v>0</v>
      </c>
      <c r="C863" s="7">
        <v>100</v>
      </c>
      <c r="D863">
        <v>0</v>
      </c>
      <c r="E863" s="2">
        <f t="shared" si="54"/>
        <v>782</v>
      </c>
      <c r="F863" s="2">
        <f t="shared" si="55"/>
        <v>199.5</v>
      </c>
      <c r="G863" s="2">
        <f t="shared" si="56"/>
        <v>582.5</v>
      </c>
      <c r="H863" s="2">
        <f t="shared" si="53"/>
        <v>339306.25</v>
      </c>
    </row>
    <row r="864" spans="1:8" x14ac:dyDescent="0.25">
      <c r="A864" s="7">
        <v>100</v>
      </c>
      <c r="B864">
        <v>0</v>
      </c>
      <c r="C864" s="7">
        <v>100</v>
      </c>
      <c r="D864">
        <v>0</v>
      </c>
      <c r="E864" s="2">
        <f t="shared" si="54"/>
        <v>782</v>
      </c>
      <c r="F864" s="2">
        <f t="shared" si="55"/>
        <v>199.5</v>
      </c>
      <c r="G864" s="2">
        <f t="shared" si="56"/>
        <v>582.5</v>
      </c>
      <c r="H864" s="2">
        <f t="shared" si="53"/>
        <v>339306.25</v>
      </c>
    </row>
    <row r="865" spans="1:8" x14ac:dyDescent="0.25">
      <c r="A865" s="7">
        <v>100</v>
      </c>
      <c r="B865">
        <v>0</v>
      </c>
      <c r="C865" s="7">
        <v>100</v>
      </c>
      <c r="D865">
        <v>0</v>
      </c>
      <c r="E865" s="2">
        <f t="shared" si="54"/>
        <v>782</v>
      </c>
      <c r="F865" s="2">
        <f t="shared" si="55"/>
        <v>199.5</v>
      </c>
      <c r="G865" s="2">
        <f t="shared" si="56"/>
        <v>582.5</v>
      </c>
      <c r="H865" s="2">
        <f t="shared" si="53"/>
        <v>339306.25</v>
      </c>
    </row>
    <row r="866" spans="1:8" x14ac:dyDescent="0.25">
      <c r="A866" s="7">
        <v>0</v>
      </c>
      <c r="B866">
        <v>0</v>
      </c>
      <c r="C866" s="7">
        <v>0</v>
      </c>
      <c r="D866">
        <v>0</v>
      </c>
      <c r="E866" s="2">
        <f t="shared" si="54"/>
        <v>20</v>
      </c>
      <c r="F866" s="2">
        <f t="shared" si="55"/>
        <v>199.5</v>
      </c>
      <c r="G866" s="2">
        <f t="shared" si="56"/>
        <v>-179.5</v>
      </c>
      <c r="H866" s="2">
        <f t="shared" si="53"/>
        <v>32220.25</v>
      </c>
    </row>
    <row r="867" spans="1:8" x14ac:dyDescent="0.25">
      <c r="A867" s="7">
        <v>91.935483870967744</v>
      </c>
      <c r="B867">
        <v>82.051282051282044</v>
      </c>
      <c r="C867" s="7">
        <v>91.935483870967744</v>
      </c>
      <c r="D867">
        <v>82.051282051282044</v>
      </c>
      <c r="E867" s="2">
        <f t="shared" si="54"/>
        <v>378</v>
      </c>
      <c r="F867" s="2">
        <f t="shared" si="55"/>
        <v>666.5</v>
      </c>
      <c r="G867" s="2">
        <f t="shared" si="56"/>
        <v>-288.5</v>
      </c>
      <c r="H867" s="2">
        <f t="shared" si="53"/>
        <v>83232.25</v>
      </c>
    </row>
    <row r="868" spans="1:8" x14ac:dyDescent="0.25">
      <c r="A868" s="7">
        <v>92.1875</v>
      </c>
      <c r="B868">
        <v>58.974358974358978</v>
      </c>
      <c r="C868" s="7">
        <v>92.1875</v>
      </c>
      <c r="D868">
        <v>58.974358974358978</v>
      </c>
      <c r="E868" s="2">
        <f t="shared" si="54"/>
        <v>386.5</v>
      </c>
      <c r="F868" s="2">
        <f t="shared" si="55"/>
        <v>469</v>
      </c>
      <c r="G868" s="2">
        <f t="shared" si="56"/>
        <v>-82.5</v>
      </c>
      <c r="H868" s="2">
        <f t="shared" si="53"/>
        <v>6806.25</v>
      </c>
    </row>
    <row r="869" spans="1:8" x14ac:dyDescent="0.25">
      <c r="A869" s="7">
        <v>100</v>
      </c>
      <c r="B869">
        <v>100</v>
      </c>
      <c r="C869" s="7">
        <v>100</v>
      </c>
      <c r="D869">
        <v>100</v>
      </c>
      <c r="E869" s="2">
        <f t="shared" si="54"/>
        <v>782</v>
      </c>
      <c r="F869" s="2">
        <f t="shared" si="55"/>
        <v>943.5</v>
      </c>
      <c r="G869" s="2">
        <f t="shared" si="56"/>
        <v>-161.5</v>
      </c>
      <c r="H869" s="2">
        <f t="shared" si="53"/>
        <v>26082.25</v>
      </c>
    </row>
    <row r="870" spans="1:8" x14ac:dyDescent="0.25">
      <c r="A870" s="7">
        <v>91.954022988505741</v>
      </c>
      <c r="B870">
        <v>85.507246376811594</v>
      </c>
      <c r="C870" s="7">
        <v>91.954022988505741</v>
      </c>
      <c r="D870">
        <v>85.507246376811594</v>
      </c>
      <c r="E870" s="2">
        <f t="shared" si="54"/>
        <v>379</v>
      </c>
      <c r="F870" s="2">
        <f t="shared" si="55"/>
        <v>714</v>
      </c>
      <c r="G870" s="2">
        <f t="shared" si="56"/>
        <v>-335</v>
      </c>
      <c r="H870" s="2">
        <f t="shared" si="53"/>
        <v>112225</v>
      </c>
    </row>
    <row r="871" spans="1:8" x14ac:dyDescent="0.25">
      <c r="A871" s="7">
        <v>0</v>
      </c>
      <c r="B871">
        <v>0</v>
      </c>
      <c r="C871" s="7">
        <v>0</v>
      </c>
      <c r="D871">
        <v>0</v>
      </c>
      <c r="E871" s="2">
        <f t="shared" si="54"/>
        <v>20</v>
      </c>
      <c r="F871" s="2">
        <f t="shared" si="55"/>
        <v>199.5</v>
      </c>
      <c r="G871" s="2">
        <f t="shared" si="56"/>
        <v>-179.5</v>
      </c>
      <c r="H871" s="2">
        <f t="shared" si="53"/>
        <v>32220.25</v>
      </c>
    </row>
    <row r="872" spans="1:8" x14ac:dyDescent="0.25">
      <c r="A872" s="7">
        <v>100</v>
      </c>
      <c r="B872">
        <v>0</v>
      </c>
      <c r="C872" s="7">
        <v>100</v>
      </c>
      <c r="D872">
        <v>0</v>
      </c>
      <c r="E872" s="2">
        <f t="shared" si="54"/>
        <v>782</v>
      </c>
      <c r="F872" s="2">
        <f t="shared" si="55"/>
        <v>199.5</v>
      </c>
      <c r="G872" s="2">
        <f t="shared" si="56"/>
        <v>582.5</v>
      </c>
      <c r="H872" s="2">
        <f t="shared" si="53"/>
        <v>339306.25</v>
      </c>
    </row>
    <row r="873" spans="1:8" x14ac:dyDescent="0.25">
      <c r="A873" s="7">
        <v>96.969696969696969</v>
      </c>
      <c r="B873">
        <v>0</v>
      </c>
      <c r="C873" s="7">
        <v>96.969696969696969</v>
      </c>
      <c r="D873">
        <v>0</v>
      </c>
      <c r="E873" s="2">
        <f t="shared" si="54"/>
        <v>502</v>
      </c>
      <c r="F873" s="2">
        <f t="shared" si="55"/>
        <v>199.5</v>
      </c>
      <c r="G873" s="2">
        <f t="shared" si="56"/>
        <v>302.5</v>
      </c>
      <c r="H873" s="2">
        <f t="shared" si="53"/>
        <v>91506.25</v>
      </c>
    </row>
    <row r="874" spans="1:8" x14ac:dyDescent="0.25">
      <c r="A874" s="7">
        <v>96.721311475409834</v>
      </c>
      <c r="B874">
        <v>89.130434782608688</v>
      </c>
      <c r="C874" s="7">
        <v>96.721311475409834</v>
      </c>
      <c r="D874">
        <v>89.130434782608688</v>
      </c>
      <c r="E874" s="2">
        <f t="shared" si="54"/>
        <v>495.5</v>
      </c>
      <c r="F874" s="2">
        <f t="shared" si="55"/>
        <v>786.5</v>
      </c>
      <c r="G874" s="2">
        <f t="shared" si="56"/>
        <v>-291</v>
      </c>
      <c r="H874" s="2">
        <f t="shared" si="53"/>
        <v>84681</v>
      </c>
    </row>
    <row r="875" spans="1:8" x14ac:dyDescent="0.25">
      <c r="A875" s="7">
        <v>75</v>
      </c>
      <c r="B875">
        <v>70.629370629370626</v>
      </c>
      <c r="C875" s="7">
        <v>75</v>
      </c>
      <c r="D875">
        <v>70.629370629370626</v>
      </c>
      <c r="E875" s="2">
        <f t="shared" si="54"/>
        <v>139</v>
      </c>
      <c r="F875" s="2">
        <f t="shared" si="55"/>
        <v>558.5</v>
      </c>
      <c r="G875" s="2">
        <f t="shared" si="56"/>
        <v>-419.5</v>
      </c>
      <c r="H875" s="2">
        <f t="shared" si="53"/>
        <v>175980.25</v>
      </c>
    </row>
    <row r="876" spans="1:8" x14ac:dyDescent="0.25">
      <c r="A876" s="7">
        <v>78.260869565217391</v>
      </c>
      <c r="B876">
        <v>87.5</v>
      </c>
      <c r="C876" s="7">
        <v>78.260869565217391</v>
      </c>
      <c r="D876">
        <v>87.5</v>
      </c>
      <c r="E876" s="2">
        <f t="shared" si="54"/>
        <v>166</v>
      </c>
      <c r="F876" s="2">
        <f t="shared" si="55"/>
        <v>753</v>
      </c>
      <c r="G876" s="2">
        <f t="shared" si="56"/>
        <v>-587</v>
      </c>
      <c r="H876" s="2">
        <f t="shared" si="53"/>
        <v>344569</v>
      </c>
    </row>
    <row r="877" spans="1:8" x14ac:dyDescent="0.25">
      <c r="A877" s="7">
        <v>100</v>
      </c>
      <c r="B877">
        <v>0</v>
      </c>
      <c r="C877" s="7">
        <v>100</v>
      </c>
      <c r="D877">
        <v>0</v>
      </c>
      <c r="E877" s="2">
        <f t="shared" si="54"/>
        <v>782</v>
      </c>
      <c r="F877" s="2">
        <f t="shared" si="55"/>
        <v>199.5</v>
      </c>
      <c r="G877" s="2">
        <f t="shared" si="56"/>
        <v>582.5</v>
      </c>
      <c r="H877" s="2">
        <f t="shared" si="53"/>
        <v>339306.25</v>
      </c>
    </row>
    <row r="878" spans="1:8" x14ac:dyDescent="0.25">
      <c r="A878" s="7">
        <v>100</v>
      </c>
      <c r="B878">
        <v>100</v>
      </c>
      <c r="C878" s="7">
        <v>100</v>
      </c>
      <c r="D878">
        <v>100</v>
      </c>
      <c r="E878" s="2">
        <f t="shared" si="54"/>
        <v>782</v>
      </c>
      <c r="F878" s="2">
        <f t="shared" si="55"/>
        <v>943.5</v>
      </c>
      <c r="G878" s="2">
        <f t="shared" si="56"/>
        <v>-161.5</v>
      </c>
      <c r="H878" s="2">
        <f t="shared" si="53"/>
        <v>26082.25</v>
      </c>
    </row>
    <row r="879" spans="1:8" x14ac:dyDescent="0.25">
      <c r="A879" s="7">
        <v>100</v>
      </c>
      <c r="B879">
        <v>100</v>
      </c>
      <c r="C879" s="7">
        <v>100</v>
      </c>
      <c r="D879">
        <v>100</v>
      </c>
      <c r="E879" s="2">
        <f t="shared" si="54"/>
        <v>782</v>
      </c>
      <c r="F879" s="2">
        <f t="shared" si="55"/>
        <v>943.5</v>
      </c>
      <c r="G879" s="2">
        <f t="shared" si="56"/>
        <v>-161.5</v>
      </c>
      <c r="H879" s="2">
        <f t="shared" si="53"/>
        <v>26082.25</v>
      </c>
    </row>
    <row r="880" spans="1:8" x14ac:dyDescent="0.25">
      <c r="A880" s="7">
        <v>100</v>
      </c>
      <c r="B880">
        <v>0</v>
      </c>
      <c r="C880" s="7">
        <v>100</v>
      </c>
      <c r="D880">
        <v>0</v>
      </c>
      <c r="E880" s="2">
        <f t="shared" si="54"/>
        <v>782</v>
      </c>
      <c r="F880" s="2">
        <f t="shared" si="55"/>
        <v>199.5</v>
      </c>
      <c r="G880" s="2">
        <f t="shared" si="56"/>
        <v>582.5</v>
      </c>
      <c r="H880" s="2">
        <f t="shared" si="53"/>
        <v>339306.25</v>
      </c>
    </row>
    <row r="881" spans="1:8" x14ac:dyDescent="0.25">
      <c r="A881" s="7">
        <v>100</v>
      </c>
      <c r="B881">
        <v>0</v>
      </c>
      <c r="C881" s="7">
        <v>100</v>
      </c>
      <c r="D881">
        <v>0</v>
      </c>
      <c r="E881" s="2">
        <f t="shared" si="54"/>
        <v>782</v>
      </c>
      <c r="F881" s="2">
        <f t="shared" si="55"/>
        <v>199.5</v>
      </c>
      <c r="G881" s="2">
        <f t="shared" si="56"/>
        <v>582.5</v>
      </c>
      <c r="H881" s="2">
        <f t="shared" si="53"/>
        <v>339306.25</v>
      </c>
    </row>
    <row r="882" spans="1:8" x14ac:dyDescent="0.25">
      <c r="A882" s="7">
        <v>100</v>
      </c>
      <c r="B882">
        <v>0</v>
      </c>
      <c r="C882" s="7">
        <v>100</v>
      </c>
      <c r="D882">
        <v>0</v>
      </c>
      <c r="E882" s="2">
        <f t="shared" si="54"/>
        <v>782</v>
      </c>
      <c r="F882" s="2">
        <f t="shared" si="55"/>
        <v>199.5</v>
      </c>
      <c r="G882" s="2">
        <f t="shared" si="56"/>
        <v>582.5</v>
      </c>
      <c r="H882" s="2">
        <f t="shared" si="53"/>
        <v>339306.25</v>
      </c>
    </row>
    <row r="883" spans="1:8" x14ac:dyDescent="0.25">
      <c r="A883" s="7">
        <v>100</v>
      </c>
      <c r="B883">
        <v>0</v>
      </c>
      <c r="C883" s="7">
        <v>100</v>
      </c>
      <c r="D883">
        <v>0</v>
      </c>
      <c r="E883" s="2">
        <f t="shared" si="54"/>
        <v>782</v>
      </c>
      <c r="F883" s="2">
        <f t="shared" si="55"/>
        <v>199.5</v>
      </c>
      <c r="G883" s="2">
        <f t="shared" si="56"/>
        <v>582.5</v>
      </c>
      <c r="H883" s="2">
        <f t="shared" si="53"/>
        <v>339306.25</v>
      </c>
    </row>
    <row r="884" spans="1:8" x14ac:dyDescent="0.25">
      <c r="A884" s="7">
        <v>81.578947368421055</v>
      </c>
      <c r="B884">
        <v>61.728395061728392</v>
      </c>
      <c r="C884" s="7">
        <v>81.578947368421055</v>
      </c>
      <c r="D884">
        <v>61.728395061728392</v>
      </c>
      <c r="E884" s="2">
        <f t="shared" si="54"/>
        <v>189</v>
      </c>
      <c r="F884" s="2">
        <f t="shared" si="55"/>
        <v>484</v>
      </c>
      <c r="G884" s="2">
        <f t="shared" si="56"/>
        <v>-295</v>
      </c>
      <c r="H884" s="2">
        <f t="shared" si="53"/>
        <v>87025</v>
      </c>
    </row>
    <row r="885" spans="1:8" x14ac:dyDescent="0.25">
      <c r="A885" s="7">
        <v>50.943396226415096</v>
      </c>
      <c r="B885">
        <v>28.082191780821919</v>
      </c>
      <c r="C885" s="7">
        <v>50.943396226415096</v>
      </c>
      <c r="D885">
        <v>28.082191780821919</v>
      </c>
      <c r="E885" s="2">
        <f t="shared" si="54"/>
        <v>78</v>
      </c>
      <c r="F885" s="2">
        <f t="shared" si="55"/>
        <v>403</v>
      </c>
      <c r="G885" s="2">
        <f t="shared" si="56"/>
        <v>-325</v>
      </c>
      <c r="H885" s="2">
        <f t="shared" si="53"/>
        <v>105625</v>
      </c>
    </row>
    <row r="886" spans="1:8" x14ac:dyDescent="0.25">
      <c r="A886" s="7">
        <v>84.210526315789465</v>
      </c>
      <c r="B886">
        <v>88.888888888888886</v>
      </c>
      <c r="C886" s="7">
        <v>84.210526315789465</v>
      </c>
      <c r="D886">
        <v>88.888888888888886</v>
      </c>
      <c r="E886" s="2">
        <f t="shared" si="54"/>
        <v>226</v>
      </c>
      <c r="F886" s="2">
        <f t="shared" si="55"/>
        <v>777.5</v>
      </c>
      <c r="G886" s="2">
        <f t="shared" si="56"/>
        <v>-551.5</v>
      </c>
      <c r="H886" s="2">
        <f t="shared" si="53"/>
        <v>304152.25</v>
      </c>
    </row>
    <row r="887" spans="1:8" x14ac:dyDescent="0.25">
      <c r="A887" s="7">
        <v>0</v>
      </c>
      <c r="B887">
        <v>0</v>
      </c>
      <c r="C887" s="7">
        <v>0</v>
      </c>
      <c r="D887">
        <v>0</v>
      </c>
      <c r="E887" s="2">
        <f t="shared" si="54"/>
        <v>20</v>
      </c>
      <c r="F887" s="2">
        <f t="shared" si="55"/>
        <v>199.5</v>
      </c>
      <c r="G887" s="2">
        <f t="shared" si="56"/>
        <v>-179.5</v>
      </c>
      <c r="H887" s="2">
        <f t="shared" si="53"/>
        <v>32220.25</v>
      </c>
    </row>
    <row r="888" spans="1:8" x14ac:dyDescent="0.25">
      <c r="A888" s="7">
        <v>100</v>
      </c>
      <c r="B888">
        <v>81.355932203389841</v>
      </c>
      <c r="C888" s="7">
        <v>100</v>
      </c>
      <c r="D888">
        <v>81.355932203389841</v>
      </c>
      <c r="E888" s="2">
        <f t="shared" si="54"/>
        <v>782</v>
      </c>
      <c r="F888" s="2">
        <f t="shared" si="55"/>
        <v>661.5</v>
      </c>
      <c r="G888" s="2">
        <f t="shared" si="56"/>
        <v>120.5</v>
      </c>
      <c r="H888" s="2">
        <f t="shared" si="53"/>
        <v>14520.25</v>
      </c>
    </row>
    <row r="889" spans="1:8" x14ac:dyDescent="0.25">
      <c r="A889" s="7">
        <v>50</v>
      </c>
      <c r="B889">
        <v>0</v>
      </c>
      <c r="C889" s="7">
        <v>50</v>
      </c>
      <c r="D889">
        <v>0</v>
      </c>
      <c r="E889" s="2">
        <f t="shared" si="54"/>
        <v>69</v>
      </c>
      <c r="F889" s="2">
        <f t="shared" si="55"/>
        <v>199.5</v>
      </c>
      <c r="G889" s="2">
        <f t="shared" si="56"/>
        <v>-130.5</v>
      </c>
      <c r="H889" s="2">
        <f t="shared" ref="H889:H952" si="57">IF(C889="","",G889^2)</f>
        <v>17030.25</v>
      </c>
    </row>
    <row r="890" spans="1:8" x14ac:dyDescent="0.25">
      <c r="A890" s="7">
        <v>90.322580645161281</v>
      </c>
      <c r="B890">
        <v>81.25</v>
      </c>
      <c r="C890" s="7">
        <v>90.322580645161281</v>
      </c>
      <c r="D890">
        <v>81.25</v>
      </c>
      <c r="E890" s="2">
        <f t="shared" si="54"/>
        <v>337</v>
      </c>
      <c r="F890" s="2">
        <f t="shared" si="55"/>
        <v>659</v>
      </c>
      <c r="G890" s="2">
        <f t="shared" si="56"/>
        <v>-322</v>
      </c>
      <c r="H890" s="2">
        <f t="shared" si="57"/>
        <v>103684</v>
      </c>
    </row>
    <row r="891" spans="1:8" x14ac:dyDescent="0.25">
      <c r="A891" s="7">
        <v>88.81987577639751</v>
      </c>
      <c r="B891">
        <v>86.666666666666671</v>
      </c>
      <c r="C891" s="7">
        <v>88.81987577639751</v>
      </c>
      <c r="D891">
        <v>86.666666666666671</v>
      </c>
      <c r="E891" s="2">
        <f t="shared" si="54"/>
        <v>293</v>
      </c>
      <c r="F891" s="2">
        <f t="shared" si="55"/>
        <v>738</v>
      </c>
      <c r="G891" s="2">
        <f t="shared" si="56"/>
        <v>-445</v>
      </c>
      <c r="H891" s="2">
        <f t="shared" si="57"/>
        <v>198025</v>
      </c>
    </row>
    <row r="892" spans="1:8" x14ac:dyDescent="0.25">
      <c r="A892" s="7">
        <v>96</v>
      </c>
      <c r="B892">
        <v>88</v>
      </c>
      <c r="C892" s="7">
        <v>96</v>
      </c>
      <c r="D892">
        <v>88</v>
      </c>
      <c r="E892" s="2">
        <f t="shared" si="54"/>
        <v>472.5</v>
      </c>
      <c r="F892" s="2">
        <f t="shared" si="55"/>
        <v>761</v>
      </c>
      <c r="G892" s="2">
        <f t="shared" si="56"/>
        <v>-288.5</v>
      </c>
      <c r="H892" s="2">
        <f t="shared" si="57"/>
        <v>83232.25</v>
      </c>
    </row>
    <row r="893" spans="1:8" x14ac:dyDescent="0.25">
      <c r="A893" s="7">
        <v>45.833333333333329</v>
      </c>
      <c r="B893">
        <v>40</v>
      </c>
      <c r="C893" s="7">
        <v>45.833333333333329</v>
      </c>
      <c r="D893">
        <v>40</v>
      </c>
      <c r="E893" s="2">
        <f t="shared" si="54"/>
        <v>60</v>
      </c>
      <c r="F893" s="2">
        <f t="shared" si="55"/>
        <v>413.5</v>
      </c>
      <c r="G893" s="2">
        <f t="shared" si="56"/>
        <v>-353.5</v>
      </c>
      <c r="H893" s="2">
        <f t="shared" si="57"/>
        <v>124962.25</v>
      </c>
    </row>
    <row r="894" spans="1:8" x14ac:dyDescent="0.25">
      <c r="A894" s="7">
        <v>50</v>
      </c>
      <c r="B894">
        <v>55.26315789473685</v>
      </c>
      <c r="C894" s="7">
        <v>50</v>
      </c>
      <c r="D894">
        <v>55.26315789473685</v>
      </c>
      <c r="E894" s="2">
        <f t="shared" si="54"/>
        <v>69</v>
      </c>
      <c r="F894" s="2">
        <f t="shared" si="55"/>
        <v>451</v>
      </c>
      <c r="G894" s="2">
        <f t="shared" si="56"/>
        <v>-382</v>
      </c>
      <c r="H894" s="2">
        <f t="shared" si="57"/>
        <v>145924</v>
      </c>
    </row>
    <row r="895" spans="1:8" x14ac:dyDescent="0.25">
      <c r="A895" s="7">
        <v>85.641025641025635</v>
      </c>
      <c r="B895">
        <v>53.846153846153847</v>
      </c>
      <c r="C895" s="7">
        <v>85.641025641025635</v>
      </c>
      <c r="D895">
        <v>53.846153846153847</v>
      </c>
      <c r="E895" s="2">
        <f t="shared" si="54"/>
        <v>237</v>
      </c>
      <c r="F895" s="2">
        <f t="shared" si="55"/>
        <v>446</v>
      </c>
      <c r="G895" s="2">
        <f t="shared" si="56"/>
        <v>-209</v>
      </c>
      <c r="H895" s="2">
        <f t="shared" si="57"/>
        <v>43681</v>
      </c>
    </row>
    <row r="896" spans="1:8" x14ac:dyDescent="0.25">
      <c r="A896" s="7">
        <v>79.411764705882348</v>
      </c>
      <c r="B896">
        <v>58.18181818181818</v>
      </c>
      <c r="C896" s="7">
        <v>79.411764705882348</v>
      </c>
      <c r="D896">
        <v>58.18181818181818</v>
      </c>
      <c r="E896" s="2">
        <f t="shared" si="54"/>
        <v>171.5</v>
      </c>
      <c r="F896" s="2">
        <f t="shared" si="55"/>
        <v>463</v>
      </c>
      <c r="G896" s="2">
        <f t="shared" si="56"/>
        <v>-291.5</v>
      </c>
      <c r="H896" s="2">
        <f t="shared" si="57"/>
        <v>84972.25</v>
      </c>
    </row>
    <row r="897" spans="1:8" x14ac:dyDescent="0.25">
      <c r="A897" s="7">
        <v>100</v>
      </c>
      <c r="B897">
        <v>61.29032258064516</v>
      </c>
      <c r="C897" s="7">
        <v>100</v>
      </c>
      <c r="D897">
        <v>61.29032258064516</v>
      </c>
      <c r="E897" s="2">
        <f t="shared" si="54"/>
        <v>782</v>
      </c>
      <c r="F897" s="2">
        <f t="shared" si="55"/>
        <v>483</v>
      </c>
      <c r="G897" s="2">
        <f t="shared" si="56"/>
        <v>299</v>
      </c>
      <c r="H897" s="2">
        <f t="shared" si="57"/>
        <v>89401</v>
      </c>
    </row>
    <row r="898" spans="1:8" x14ac:dyDescent="0.25">
      <c r="A898" s="7">
        <v>100</v>
      </c>
      <c r="B898">
        <v>100</v>
      </c>
      <c r="C898" s="7">
        <v>100</v>
      </c>
      <c r="D898">
        <v>100</v>
      </c>
      <c r="E898" s="2">
        <f t="shared" si="54"/>
        <v>782</v>
      </c>
      <c r="F898" s="2">
        <f t="shared" si="55"/>
        <v>943.5</v>
      </c>
      <c r="G898" s="2">
        <f t="shared" si="56"/>
        <v>-161.5</v>
      </c>
      <c r="H898" s="2">
        <f t="shared" si="57"/>
        <v>26082.25</v>
      </c>
    </row>
    <row r="899" spans="1:8" x14ac:dyDescent="0.25">
      <c r="A899" s="7">
        <v>97.297297297297305</v>
      </c>
      <c r="B899">
        <v>96.15384615384616</v>
      </c>
      <c r="C899" s="7">
        <v>97.297297297297305</v>
      </c>
      <c r="D899">
        <v>96.15384615384616</v>
      </c>
      <c r="E899" s="2">
        <f t="shared" ref="E899:E962" si="58">IF(C899="","",_xlfn.RANK.AVG(C899,C$2:C$1003,1))</f>
        <v>507</v>
      </c>
      <c r="F899" s="2">
        <f t="shared" ref="F899:F962" si="59">IF(D899="","",_xlfn.RANK.AVG(D899,D$2:D$1003,1))</f>
        <v>867.5</v>
      </c>
      <c r="G899" s="2">
        <f t="shared" ref="G899:G962" si="60">IF(C899="","",E899-F899)</f>
        <v>-360.5</v>
      </c>
      <c r="H899" s="2">
        <f t="shared" si="57"/>
        <v>129960.25</v>
      </c>
    </row>
    <row r="900" spans="1:8" x14ac:dyDescent="0.25">
      <c r="A900" s="7">
        <v>96.470588235294116</v>
      </c>
      <c r="B900">
        <v>92.537313432835816</v>
      </c>
      <c r="C900" s="7">
        <v>96.470588235294116</v>
      </c>
      <c r="D900">
        <v>92.537313432835816</v>
      </c>
      <c r="E900" s="2">
        <f t="shared" si="58"/>
        <v>485.5</v>
      </c>
      <c r="F900" s="2">
        <f t="shared" si="59"/>
        <v>828.5</v>
      </c>
      <c r="G900" s="2">
        <f t="shared" si="60"/>
        <v>-343</v>
      </c>
      <c r="H900" s="2">
        <f t="shared" si="57"/>
        <v>117649</v>
      </c>
    </row>
    <row r="901" spans="1:8" x14ac:dyDescent="0.25">
      <c r="A901" s="7">
        <v>41.666666666666671</v>
      </c>
      <c r="B901">
        <v>0</v>
      </c>
      <c r="C901" s="7">
        <v>41.666666666666671</v>
      </c>
      <c r="D901">
        <v>0</v>
      </c>
      <c r="E901" s="2">
        <f t="shared" si="58"/>
        <v>56.5</v>
      </c>
      <c r="F901" s="2">
        <f t="shared" si="59"/>
        <v>199.5</v>
      </c>
      <c r="G901" s="2">
        <f t="shared" si="60"/>
        <v>-143</v>
      </c>
      <c r="H901" s="2">
        <f t="shared" si="57"/>
        <v>20449</v>
      </c>
    </row>
    <row r="902" spans="1:8" x14ac:dyDescent="0.25">
      <c r="A902" s="7">
        <v>0</v>
      </c>
      <c r="B902">
        <v>0</v>
      </c>
      <c r="C902" s="7">
        <v>0</v>
      </c>
      <c r="D902">
        <v>0</v>
      </c>
      <c r="E902" s="2">
        <f t="shared" si="58"/>
        <v>20</v>
      </c>
      <c r="F902" s="2">
        <f t="shared" si="59"/>
        <v>199.5</v>
      </c>
      <c r="G902" s="2">
        <f t="shared" si="60"/>
        <v>-179.5</v>
      </c>
      <c r="H902" s="2">
        <f t="shared" si="57"/>
        <v>32220.25</v>
      </c>
    </row>
    <row r="903" spans="1:8" x14ac:dyDescent="0.25">
      <c r="A903" s="7">
        <v>95.454545454545453</v>
      </c>
      <c r="B903">
        <v>88.888888888888886</v>
      </c>
      <c r="C903" s="7">
        <v>95.454545454545453</v>
      </c>
      <c r="D903">
        <v>88.888888888888886</v>
      </c>
      <c r="E903" s="2">
        <f t="shared" si="58"/>
        <v>455.5</v>
      </c>
      <c r="F903" s="2">
        <f t="shared" si="59"/>
        <v>777.5</v>
      </c>
      <c r="G903" s="2">
        <f t="shared" si="60"/>
        <v>-322</v>
      </c>
      <c r="H903" s="2">
        <f t="shared" si="57"/>
        <v>103684</v>
      </c>
    </row>
    <row r="904" spans="1:8" x14ac:dyDescent="0.25">
      <c r="A904" s="7">
        <v>100</v>
      </c>
      <c r="B904">
        <v>0</v>
      </c>
      <c r="C904" s="7">
        <v>100</v>
      </c>
      <c r="D904">
        <v>0</v>
      </c>
      <c r="E904" s="2">
        <f t="shared" si="58"/>
        <v>782</v>
      </c>
      <c r="F904" s="2">
        <f t="shared" si="59"/>
        <v>199.5</v>
      </c>
      <c r="G904" s="2">
        <f t="shared" si="60"/>
        <v>582.5</v>
      </c>
      <c r="H904" s="2">
        <f t="shared" si="57"/>
        <v>339306.25</v>
      </c>
    </row>
    <row r="905" spans="1:8" x14ac:dyDescent="0.25">
      <c r="A905" s="7">
        <v>96.739130434782609</v>
      </c>
      <c r="B905">
        <v>54.13533834586466</v>
      </c>
      <c r="C905" s="7">
        <v>96.739130434782609</v>
      </c>
      <c r="D905">
        <v>54.13533834586466</v>
      </c>
      <c r="E905" s="2">
        <f t="shared" si="58"/>
        <v>497</v>
      </c>
      <c r="F905" s="2">
        <f t="shared" si="59"/>
        <v>447.5</v>
      </c>
      <c r="G905" s="2">
        <f t="shared" si="60"/>
        <v>49.5</v>
      </c>
      <c r="H905" s="2">
        <f t="shared" si="57"/>
        <v>2450.25</v>
      </c>
    </row>
    <row r="906" spans="1:8" x14ac:dyDescent="0.25">
      <c r="A906" s="7">
        <v>83.333333333333343</v>
      </c>
      <c r="B906">
        <v>0</v>
      </c>
      <c r="C906" s="7">
        <v>83.333333333333343</v>
      </c>
      <c r="D906">
        <v>0</v>
      </c>
      <c r="E906" s="2">
        <f t="shared" si="58"/>
        <v>212.5</v>
      </c>
      <c r="F906" s="2">
        <f t="shared" si="59"/>
        <v>199.5</v>
      </c>
      <c r="G906" s="2">
        <f t="shared" si="60"/>
        <v>13</v>
      </c>
      <c r="H906" s="2">
        <f t="shared" si="57"/>
        <v>169</v>
      </c>
    </row>
    <row r="907" spans="1:8" x14ac:dyDescent="0.25">
      <c r="A907" s="7">
        <v>86.73986486486487</v>
      </c>
      <c r="B907">
        <v>69.769673704414586</v>
      </c>
      <c r="C907" s="7">
        <v>86.73986486486487</v>
      </c>
      <c r="D907">
        <v>69.769673704414586</v>
      </c>
      <c r="E907" s="2">
        <f t="shared" si="58"/>
        <v>262.5</v>
      </c>
      <c r="F907" s="2">
        <f t="shared" si="59"/>
        <v>550.5</v>
      </c>
      <c r="G907" s="2">
        <f t="shared" si="60"/>
        <v>-288</v>
      </c>
      <c r="H907" s="2">
        <f t="shared" si="57"/>
        <v>82944</v>
      </c>
    </row>
    <row r="908" spans="1:8" x14ac:dyDescent="0.25">
      <c r="A908" s="7">
        <v>84.269662921348313</v>
      </c>
      <c r="B908">
        <v>89.189189189189193</v>
      </c>
      <c r="C908" s="7">
        <v>84.269662921348313</v>
      </c>
      <c r="D908">
        <v>89.189189189189193</v>
      </c>
      <c r="E908" s="2">
        <f t="shared" si="58"/>
        <v>229.5</v>
      </c>
      <c r="F908" s="2">
        <f t="shared" si="59"/>
        <v>788.5</v>
      </c>
      <c r="G908" s="2">
        <f t="shared" si="60"/>
        <v>-559</v>
      </c>
      <c r="H908" s="2">
        <f t="shared" si="57"/>
        <v>312481</v>
      </c>
    </row>
    <row r="909" spans="1:8" x14ac:dyDescent="0.25">
      <c r="A909" s="7">
        <v>75</v>
      </c>
      <c r="B909">
        <v>0</v>
      </c>
      <c r="C909" s="7">
        <v>75</v>
      </c>
      <c r="D909">
        <v>0</v>
      </c>
      <c r="E909" s="2">
        <f t="shared" si="58"/>
        <v>139</v>
      </c>
      <c r="F909" s="2">
        <f t="shared" si="59"/>
        <v>199.5</v>
      </c>
      <c r="G909" s="2">
        <f t="shared" si="60"/>
        <v>-60.5</v>
      </c>
      <c r="H909" s="2">
        <f t="shared" si="57"/>
        <v>3660.25</v>
      </c>
    </row>
    <row r="910" spans="1:8" x14ac:dyDescent="0.25">
      <c r="A910" s="7">
        <v>100</v>
      </c>
      <c r="B910">
        <v>0</v>
      </c>
      <c r="C910" s="7">
        <v>100</v>
      </c>
      <c r="D910">
        <v>0</v>
      </c>
      <c r="E910" s="2">
        <f t="shared" si="58"/>
        <v>782</v>
      </c>
      <c r="F910" s="2">
        <f t="shared" si="59"/>
        <v>199.5</v>
      </c>
      <c r="G910" s="2">
        <f t="shared" si="60"/>
        <v>582.5</v>
      </c>
      <c r="H910" s="2">
        <f t="shared" si="57"/>
        <v>339306.25</v>
      </c>
    </row>
    <row r="911" spans="1:8" x14ac:dyDescent="0.25">
      <c r="A911" s="7">
        <v>100</v>
      </c>
      <c r="B911">
        <v>0</v>
      </c>
      <c r="C911" s="7">
        <v>100</v>
      </c>
      <c r="D911">
        <v>0</v>
      </c>
      <c r="E911" s="2">
        <f t="shared" si="58"/>
        <v>782</v>
      </c>
      <c r="F911" s="2">
        <f t="shared" si="59"/>
        <v>199.5</v>
      </c>
      <c r="G911" s="2">
        <f t="shared" si="60"/>
        <v>582.5</v>
      </c>
      <c r="H911" s="2">
        <f t="shared" si="57"/>
        <v>339306.25</v>
      </c>
    </row>
    <row r="912" spans="1:8" x14ac:dyDescent="0.25">
      <c r="A912" s="7">
        <v>100</v>
      </c>
      <c r="B912">
        <v>0</v>
      </c>
      <c r="C912" s="7">
        <v>100</v>
      </c>
      <c r="D912">
        <v>0</v>
      </c>
      <c r="E912" s="2">
        <f t="shared" si="58"/>
        <v>782</v>
      </c>
      <c r="F912" s="2">
        <f t="shared" si="59"/>
        <v>199.5</v>
      </c>
      <c r="G912" s="2">
        <f t="shared" si="60"/>
        <v>582.5</v>
      </c>
      <c r="H912" s="2">
        <f t="shared" si="57"/>
        <v>339306.25</v>
      </c>
    </row>
    <row r="913" spans="1:8" x14ac:dyDescent="0.25">
      <c r="A913" s="7">
        <v>91.283292978208237</v>
      </c>
      <c r="B913">
        <v>61.890838206627684</v>
      </c>
      <c r="C913" s="7">
        <v>91.283292978208237</v>
      </c>
      <c r="D913">
        <v>61.890838206627684</v>
      </c>
      <c r="E913" s="2">
        <f t="shared" si="58"/>
        <v>356</v>
      </c>
      <c r="F913" s="2">
        <f t="shared" si="59"/>
        <v>485.5</v>
      </c>
      <c r="G913" s="2">
        <f t="shared" si="60"/>
        <v>-129.5</v>
      </c>
      <c r="H913" s="2">
        <f t="shared" si="57"/>
        <v>16770.25</v>
      </c>
    </row>
    <row r="914" spans="1:8" x14ac:dyDescent="0.25">
      <c r="A914" s="7">
        <v>82.558139534883722</v>
      </c>
      <c r="B914">
        <v>84.337349397590373</v>
      </c>
      <c r="C914" s="7">
        <v>82.558139534883722</v>
      </c>
      <c r="D914">
        <v>84.337349397590373</v>
      </c>
      <c r="E914" s="2">
        <f t="shared" si="58"/>
        <v>196</v>
      </c>
      <c r="F914" s="2">
        <f t="shared" si="59"/>
        <v>701.5</v>
      </c>
      <c r="G914" s="2">
        <f t="shared" si="60"/>
        <v>-505.5</v>
      </c>
      <c r="H914" s="2">
        <f t="shared" si="57"/>
        <v>255530.25</v>
      </c>
    </row>
    <row r="915" spans="1:8" x14ac:dyDescent="0.25">
      <c r="A915" s="7">
        <v>100</v>
      </c>
      <c r="B915">
        <v>0</v>
      </c>
      <c r="C915" s="7">
        <v>100</v>
      </c>
      <c r="D915">
        <v>0</v>
      </c>
      <c r="E915" s="2">
        <f t="shared" si="58"/>
        <v>782</v>
      </c>
      <c r="F915" s="2">
        <f t="shared" si="59"/>
        <v>199.5</v>
      </c>
      <c r="G915" s="2">
        <f t="shared" si="60"/>
        <v>582.5</v>
      </c>
      <c r="H915" s="2">
        <f t="shared" si="57"/>
        <v>339306.25</v>
      </c>
    </row>
    <row r="916" spans="1:8" x14ac:dyDescent="0.25">
      <c r="A916" s="7">
        <v>96</v>
      </c>
      <c r="B916">
        <v>87.185929648241199</v>
      </c>
      <c r="C916" s="7">
        <v>96</v>
      </c>
      <c r="D916">
        <v>87.185929648241199</v>
      </c>
      <c r="E916" s="2">
        <f t="shared" si="58"/>
        <v>472.5</v>
      </c>
      <c r="F916" s="2">
        <f t="shared" si="59"/>
        <v>748</v>
      </c>
      <c r="G916" s="2">
        <f t="shared" si="60"/>
        <v>-275.5</v>
      </c>
      <c r="H916" s="2">
        <f t="shared" si="57"/>
        <v>75900.25</v>
      </c>
    </row>
    <row r="917" spans="1:8" x14ac:dyDescent="0.25">
      <c r="A917" s="7">
        <v>89.041095890410958</v>
      </c>
      <c r="B917">
        <v>90.322580645161281</v>
      </c>
      <c r="C917" s="7">
        <v>89.041095890410958</v>
      </c>
      <c r="D917">
        <v>90.322580645161281</v>
      </c>
      <c r="E917" s="2">
        <f t="shared" si="58"/>
        <v>304</v>
      </c>
      <c r="F917" s="2">
        <f t="shared" si="59"/>
        <v>805.5</v>
      </c>
      <c r="G917" s="2">
        <f t="shared" si="60"/>
        <v>-501.5</v>
      </c>
      <c r="H917" s="2">
        <f t="shared" si="57"/>
        <v>251502.25</v>
      </c>
    </row>
    <row r="918" spans="1:8" x14ac:dyDescent="0.25">
      <c r="A918" s="7">
        <v>0</v>
      </c>
      <c r="B918">
        <v>0</v>
      </c>
      <c r="C918" s="7">
        <v>0</v>
      </c>
      <c r="D918">
        <v>0</v>
      </c>
      <c r="E918" s="2">
        <f t="shared" si="58"/>
        <v>20</v>
      </c>
      <c r="F918" s="2">
        <f t="shared" si="59"/>
        <v>199.5</v>
      </c>
      <c r="G918" s="2">
        <f t="shared" si="60"/>
        <v>-179.5</v>
      </c>
      <c r="H918" s="2">
        <f t="shared" si="57"/>
        <v>32220.25</v>
      </c>
    </row>
    <row r="919" spans="1:8" x14ac:dyDescent="0.25">
      <c r="A919" s="7">
        <v>100</v>
      </c>
      <c r="B919">
        <v>0</v>
      </c>
      <c r="C919" s="7">
        <v>100</v>
      </c>
      <c r="D919">
        <v>0</v>
      </c>
      <c r="E919" s="2">
        <f t="shared" si="58"/>
        <v>782</v>
      </c>
      <c r="F919" s="2">
        <f t="shared" si="59"/>
        <v>199.5</v>
      </c>
      <c r="G919" s="2">
        <f t="shared" si="60"/>
        <v>582.5</v>
      </c>
      <c r="H919" s="2">
        <f t="shared" si="57"/>
        <v>339306.25</v>
      </c>
    </row>
    <row r="920" spans="1:8" x14ac:dyDescent="0.25">
      <c r="A920" s="7">
        <v>87.5</v>
      </c>
      <c r="B920">
        <v>100</v>
      </c>
      <c r="C920" s="7">
        <v>87.5</v>
      </c>
      <c r="D920">
        <v>100</v>
      </c>
      <c r="E920" s="2">
        <f t="shared" si="58"/>
        <v>279.5</v>
      </c>
      <c r="F920" s="2">
        <f t="shared" si="59"/>
        <v>943.5</v>
      </c>
      <c r="G920" s="2">
        <f t="shared" si="60"/>
        <v>-664</v>
      </c>
      <c r="H920" s="2">
        <f t="shared" si="57"/>
        <v>440896</v>
      </c>
    </row>
    <row r="921" spans="1:8" x14ac:dyDescent="0.25">
      <c r="A921" s="7">
        <v>100</v>
      </c>
      <c r="B921">
        <v>0</v>
      </c>
      <c r="C921" s="7">
        <v>100</v>
      </c>
      <c r="D921">
        <v>0</v>
      </c>
      <c r="E921" s="2">
        <f t="shared" si="58"/>
        <v>782</v>
      </c>
      <c r="F921" s="2">
        <f t="shared" si="59"/>
        <v>199.5</v>
      </c>
      <c r="G921" s="2">
        <f t="shared" si="60"/>
        <v>582.5</v>
      </c>
      <c r="H921" s="2">
        <f t="shared" si="57"/>
        <v>339306.25</v>
      </c>
    </row>
    <row r="922" spans="1:8" x14ac:dyDescent="0.25">
      <c r="A922" s="7">
        <v>90.322580645161281</v>
      </c>
      <c r="B922">
        <v>93.45794392523365</v>
      </c>
      <c r="C922" s="7">
        <v>90.322580645161281</v>
      </c>
      <c r="D922">
        <v>93.45794392523365</v>
      </c>
      <c r="E922" s="2">
        <f t="shared" si="58"/>
        <v>337</v>
      </c>
      <c r="F922" s="2">
        <f t="shared" si="59"/>
        <v>844</v>
      </c>
      <c r="G922" s="2">
        <f t="shared" si="60"/>
        <v>-507</v>
      </c>
      <c r="H922" s="2">
        <f t="shared" si="57"/>
        <v>257049</v>
      </c>
    </row>
    <row r="923" spans="1:8" x14ac:dyDescent="0.25">
      <c r="A923" s="7">
        <v>100</v>
      </c>
      <c r="B923">
        <v>90.909090909090907</v>
      </c>
      <c r="C923" s="7">
        <v>100</v>
      </c>
      <c r="D923">
        <v>90.909090909090907</v>
      </c>
      <c r="E923" s="2">
        <f t="shared" si="58"/>
        <v>782</v>
      </c>
      <c r="F923" s="2">
        <f t="shared" si="59"/>
        <v>814</v>
      </c>
      <c r="G923" s="2">
        <f t="shared" si="60"/>
        <v>-32</v>
      </c>
      <c r="H923" s="2">
        <f t="shared" si="57"/>
        <v>1024</v>
      </c>
    </row>
    <row r="924" spans="1:8" x14ac:dyDescent="0.25">
      <c r="A924" s="7">
        <v>97.826086956521735</v>
      </c>
      <c r="B924">
        <v>68.965517241379317</v>
      </c>
      <c r="C924" s="7">
        <v>97.826086956521735</v>
      </c>
      <c r="D924">
        <v>68.965517241379317</v>
      </c>
      <c r="E924" s="2">
        <f t="shared" si="58"/>
        <v>531</v>
      </c>
      <c r="F924" s="2">
        <f t="shared" si="59"/>
        <v>544</v>
      </c>
      <c r="G924" s="2">
        <f t="shared" si="60"/>
        <v>-13</v>
      </c>
      <c r="H924" s="2">
        <f t="shared" si="57"/>
        <v>169</v>
      </c>
    </row>
    <row r="925" spans="1:8" x14ac:dyDescent="0.25">
      <c r="A925" s="7">
        <v>71.428571428571431</v>
      </c>
      <c r="B925">
        <v>50</v>
      </c>
      <c r="C925" s="7">
        <v>71.428571428571431</v>
      </c>
      <c r="D925">
        <v>50</v>
      </c>
      <c r="E925" s="2">
        <f t="shared" si="58"/>
        <v>118</v>
      </c>
      <c r="F925" s="2">
        <f t="shared" si="59"/>
        <v>430.5</v>
      </c>
      <c r="G925" s="2">
        <f t="shared" si="60"/>
        <v>-312.5</v>
      </c>
      <c r="H925" s="2">
        <f t="shared" si="57"/>
        <v>97656.25</v>
      </c>
    </row>
    <row r="926" spans="1:8" x14ac:dyDescent="0.25">
      <c r="A926" s="7">
        <v>97.297297297297305</v>
      </c>
      <c r="B926">
        <v>96.551724137931032</v>
      </c>
      <c r="C926" s="7">
        <v>97.297297297297305</v>
      </c>
      <c r="D926">
        <v>96.551724137931032</v>
      </c>
      <c r="E926" s="2">
        <f t="shared" si="58"/>
        <v>507</v>
      </c>
      <c r="F926" s="2">
        <f t="shared" si="59"/>
        <v>869</v>
      </c>
      <c r="G926" s="2">
        <f t="shared" si="60"/>
        <v>-362</v>
      </c>
      <c r="H926" s="2">
        <f t="shared" si="57"/>
        <v>131044</v>
      </c>
    </row>
    <row r="927" spans="1:8" x14ac:dyDescent="0.25">
      <c r="A927" s="7">
        <v>87.096774193548384</v>
      </c>
      <c r="B927">
        <v>80.952380952380949</v>
      </c>
      <c r="C927" s="7">
        <v>87.096774193548384</v>
      </c>
      <c r="D927">
        <v>80.952380952380949</v>
      </c>
      <c r="E927" s="2">
        <f t="shared" si="58"/>
        <v>270.5</v>
      </c>
      <c r="F927" s="2">
        <f t="shared" si="59"/>
        <v>656</v>
      </c>
      <c r="G927" s="2">
        <f t="shared" si="60"/>
        <v>-385.5</v>
      </c>
      <c r="H927" s="2">
        <f t="shared" si="57"/>
        <v>148610.25</v>
      </c>
    </row>
    <row r="928" spans="1:8" x14ac:dyDescent="0.25">
      <c r="A928" s="7">
        <v>100</v>
      </c>
      <c r="B928">
        <v>0</v>
      </c>
      <c r="C928" s="7">
        <v>100</v>
      </c>
      <c r="D928">
        <v>0</v>
      </c>
      <c r="E928" s="2">
        <f t="shared" si="58"/>
        <v>782</v>
      </c>
      <c r="F928" s="2">
        <f t="shared" si="59"/>
        <v>199.5</v>
      </c>
      <c r="G928" s="2">
        <f t="shared" si="60"/>
        <v>582.5</v>
      </c>
      <c r="H928" s="2">
        <f t="shared" si="57"/>
        <v>339306.25</v>
      </c>
    </row>
    <row r="929" spans="1:8" x14ac:dyDescent="0.25">
      <c r="A929" s="7">
        <v>100</v>
      </c>
      <c r="B929">
        <v>0</v>
      </c>
      <c r="C929" s="7">
        <v>100</v>
      </c>
      <c r="D929">
        <v>0</v>
      </c>
      <c r="E929" s="2">
        <f t="shared" si="58"/>
        <v>782</v>
      </c>
      <c r="F929" s="2">
        <f t="shared" si="59"/>
        <v>199.5</v>
      </c>
      <c r="G929" s="2">
        <f t="shared" si="60"/>
        <v>582.5</v>
      </c>
      <c r="H929" s="2">
        <f t="shared" si="57"/>
        <v>339306.25</v>
      </c>
    </row>
    <row r="930" spans="1:8" x14ac:dyDescent="0.25">
      <c r="A930" s="7">
        <v>100</v>
      </c>
      <c r="B930">
        <v>0</v>
      </c>
      <c r="C930" s="7">
        <v>100</v>
      </c>
      <c r="D930">
        <v>0</v>
      </c>
      <c r="E930" s="2">
        <f t="shared" si="58"/>
        <v>782</v>
      </c>
      <c r="F930" s="2">
        <f t="shared" si="59"/>
        <v>199.5</v>
      </c>
      <c r="G930" s="2">
        <f t="shared" si="60"/>
        <v>582.5</v>
      </c>
      <c r="H930" s="2">
        <f t="shared" si="57"/>
        <v>339306.25</v>
      </c>
    </row>
    <row r="931" spans="1:8" x14ac:dyDescent="0.25">
      <c r="A931" s="7">
        <v>100</v>
      </c>
      <c r="B931">
        <v>83.333333333333343</v>
      </c>
      <c r="C931" s="7">
        <v>100</v>
      </c>
      <c r="D931">
        <v>83.333333333333343</v>
      </c>
      <c r="E931" s="2">
        <f t="shared" si="58"/>
        <v>782</v>
      </c>
      <c r="F931" s="2">
        <f t="shared" si="59"/>
        <v>687</v>
      </c>
      <c r="G931" s="2">
        <f t="shared" si="60"/>
        <v>95</v>
      </c>
      <c r="H931" s="2">
        <f t="shared" si="57"/>
        <v>9025</v>
      </c>
    </row>
    <row r="932" spans="1:8" x14ac:dyDescent="0.25">
      <c r="A932" s="7">
        <v>100</v>
      </c>
      <c r="B932">
        <v>88.235294117647058</v>
      </c>
      <c r="C932" s="7">
        <v>100</v>
      </c>
      <c r="D932">
        <v>88.235294117647058</v>
      </c>
      <c r="E932" s="2">
        <f t="shared" si="58"/>
        <v>782</v>
      </c>
      <c r="F932" s="2">
        <f t="shared" si="59"/>
        <v>765.5</v>
      </c>
      <c r="G932" s="2">
        <f t="shared" si="60"/>
        <v>16.5</v>
      </c>
      <c r="H932" s="2">
        <f t="shared" si="57"/>
        <v>272.25</v>
      </c>
    </row>
    <row r="933" spans="1:8" x14ac:dyDescent="0.25">
      <c r="A933" s="7">
        <v>71.428571428571431</v>
      </c>
      <c r="B933">
        <v>50</v>
      </c>
      <c r="C933" s="7">
        <v>71.428571428571431</v>
      </c>
      <c r="D933">
        <v>50</v>
      </c>
      <c r="E933" s="2">
        <f t="shared" si="58"/>
        <v>118</v>
      </c>
      <c r="F933" s="2">
        <f t="shared" si="59"/>
        <v>430.5</v>
      </c>
      <c r="G933" s="2">
        <f t="shared" si="60"/>
        <v>-312.5</v>
      </c>
      <c r="H933" s="2">
        <f t="shared" si="57"/>
        <v>97656.25</v>
      </c>
    </row>
    <row r="934" spans="1:8" x14ac:dyDescent="0.25">
      <c r="A934" s="7">
        <v>100</v>
      </c>
      <c r="B934">
        <v>85.714285714285708</v>
      </c>
      <c r="C934" s="7">
        <v>100</v>
      </c>
      <c r="D934">
        <v>85.714285714285708</v>
      </c>
      <c r="E934" s="2">
        <f t="shared" si="58"/>
        <v>782</v>
      </c>
      <c r="F934" s="2">
        <f t="shared" si="59"/>
        <v>720</v>
      </c>
      <c r="G934" s="2">
        <f t="shared" si="60"/>
        <v>62</v>
      </c>
      <c r="H934" s="2">
        <f t="shared" si="57"/>
        <v>3844</v>
      </c>
    </row>
    <row r="935" spans="1:8" x14ac:dyDescent="0.25">
      <c r="A935" s="7">
        <v>100</v>
      </c>
      <c r="B935">
        <v>0</v>
      </c>
      <c r="C935" s="7">
        <v>100</v>
      </c>
      <c r="D935">
        <v>0</v>
      </c>
      <c r="E935" s="2">
        <f t="shared" si="58"/>
        <v>782</v>
      </c>
      <c r="F935" s="2">
        <f t="shared" si="59"/>
        <v>199.5</v>
      </c>
      <c r="G935" s="2">
        <f t="shared" si="60"/>
        <v>582.5</v>
      </c>
      <c r="H935" s="2">
        <f t="shared" si="57"/>
        <v>339306.25</v>
      </c>
    </row>
    <row r="936" spans="1:8" x14ac:dyDescent="0.25">
      <c r="A936" s="7">
        <v>100</v>
      </c>
      <c r="B936">
        <v>84.615384615384613</v>
      </c>
      <c r="C936" s="7">
        <v>100</v>
      </c>
      <c r="D936">
        <v>84.615384615384613</v>
      </c>
      <c r="E936" s="2">
        <f t="shared" si="58"/>
        <v>782</v>
      </c>
      <c r="F936" s="2">
        <f t="shared" si="59"/>
        <v>706.5</v>
      </c>
      <c r="G936" s="2">
        <f t="shared" si="60"/>
        <v>75.5</v>
      </c>
      <c r="H936" s="2">
        <f t="shared" si="57"/>
        <v>5700.25</v>
      </c>
    </row>
    <row r="937" spans="1:8" x14ac:dyDescent="0.25">
      <c r="A937" s="7">
        <v>100</v>
      </c>
      <c r="B937">
        <v>0</v>
      </c>
      <c r="C937" s="7">
        <v>100</v>
      </c>
      <c r="D937">
        <v>0</v>
      </c>
      <c r="E937" s="2">
        <f t="shared" si="58"/>
        <v>782</v>
      </c>
      <c r="F937" s="2">
        <f t="shared" si="59"/>
        <v>199.5</v>
      </c>
      <c r="G937" s="2">
        <f t="shared" si="60"/>
        <v>582.5</v>
      </c>
      <c r="H937" s="2">
        <f t="shared" si="57"/>
        <v>339306.25</v>
      </c>
    </row>
    <row r="938" spans="1:8" x14ac:dyDescent="0.25">
      <c r="A938" s="7">
        <v>100</v>
      </c>
      <c r="B938">
        <v>100</v>
      </c>
      <c r="C938" s="7">
        <v>100</v>
      </c>
      <c r="D938">
        <v>100</v>
      </c>
      <c r="E938" s="2">
        <f t="shared" si="58"/>
        <v>782</v>
      </c>
      <c r="F938" s="2">
        <f t="shared" si="59"/>
        <v>943.5</v>
      </c>
      <c r="G938" s="2">
        <f t="shared" si="60"/>
        <v>-161.5</v>
      </c>
      <c r="H938" s="2">
        <f t="shared" si="57"/>
        <v>26082.25</v>
      </c>
    </row>
    <row r="939" spans="1:8" x14ac:dyDescent="0.25">
      <c r="A939" s="7">
        <v>100</v>
      </c>
      <c r="B939">
        <v>0</v>
      </c>
      <c r="C939" s="7">
        <v>100</v>
      </c>
      <c r="D939">
        <v>0</v>
      </c>
      <c r="E939" s="2">
        <f t="shared" si="58"/>
        <v>782</v>
      </c>
      <c r="F939" s="2">
        <f t="shared" si="59"/>
        <v>199.5</v>
      </c>
      <c r="G939" s="2">
        <f t="shared" si="60"/>
        <v>582.5</v>
      </c>
      <c r="H939" s="2">
        <f t="shared" si="57"/>
        <v>339306.25</v>
      </c>
    </row>
    <row r="940" spans="1:8" x14ac:dyDescent="0.25">
      <c r="A940" s="7">
        <v>100</v>
      </c>
      <c r="B940">
        <v>100</v>
      </c>
      <c r="C940" s="7">
        <v>100</v>
      </c>
      <c r="D940">
        <v>100</v>
      </c>
      <c r="E940" s="2">
        <f t="shared" si="58"/>
        <v>782</v>
      </c>
      <c r="F940" s="2">
        <f t="shared" si="59"/>
        <v>943.5</v>
      </c>
      <c r="G940" s="2">
        <f t="shared" si="60"/>
        <v>-161.5</v>
      </c>
      <c r="H940" s="2">
        <f t="shared" si="57"/>
        <v>26082.25</v>
      </c>
    </row>
    <row r="941" spans="1:8" x14ac:dyDescent="0.25">
      <c r="A941" s="7">
        <v>100</v>
      </c>
      <c r="B941">
        <v>88.235294117647058</v>
      </c>
      <c r="C941" s="7">
        <v>100</v>
      </c>
      <c r="D941">
        <v>88.235294117647058</v>
      </c>
      <c r="E941" s="2">
        <f t="shared" si="58"/>
        <v>782</v>
      </c>
      <c r="F941" s="2">
        <f t="shared" si="59"/>
        <v>765.5</v>
      </c>
      <c r="G941" s="2">
        <f t="shared" si="60"/>
        <v>16.5</v>
      </c>
      <c r="H941" s="2">
        <f t="shared" si="57"/>
        <v>272.25</v>
      </c>
    </row>
    <row r="942" spans="1:8" x14ac:dyDescent="0.25">
      <c r="A942" s="7">
        <v>100</v>
      </c>
      <c r="B942">
        <v>100</v>
      </c>
      <c r="C942" s="7">
        <v>100</v>
      </c>
      <c r="D942">
        <v>100</v>
      </c>
      <c r="E942" s="2">
        <f t="shared" si="58"/>
        <v>782</v>
      </c>
      <c r="F942" s="2">
        <f t="shared" si="59"/>
        <v>943.5</v>
      </c>
      <c r="G942" s="2">
        <f t="shared" si="60"/>
        <v>-161.5</v>
      </c>
      <c r="H942" s="2">
        <f t="shared" si="57"/>
        <v>26082.25</v>
      </c>
    </row>
    <row r="943" spans="1:8" x14ac:dyDescent="0.25">
      <c r="A943" s="7">
        <v>100</v>
      </c>
      <c r="B943">
        <v>100</v>
      </c>
      <c r="C943" s="7">
        <v>100</v>
      </c>
      <c r="D943">
        <v>100</v>
      </c>
      <c r="E943" s="2">
        <f t="shared" si="58"/>
        <v>782</v>
      </c>
      <c r="F943" s="2">
        <f t="shared" si="59"/>
        <v>943.5</v>
      </c>
      <c r="G943" s="2">
        <f t="shared" si="60"/>
        <v>-161.5</v>
      </c>
      <c r="H943" s="2">
        <f t="shared" si="57"/>
        <v>26082.25</v>
      </c>
    </row>
    <row r="944" spans="1:8" x14ac:dyDescent="0.25">
      <c r="A944" s="7">
        <v>94.444444444444443</v>
      </c>
      <c r="B944">
        <v>71.428571428571431</v>
      </c>
      <c r="C944" s="7">
        <v>94.444444444444443</v>
      </c>
      <c r="D944">
        <v>71.428571428571431</v>
      </c>
      <c r="E944" s="2">
        <f t="shared" si="58"/>
        <v>427.5</v>
      </c>
      <c r="F944" s="2">
        <f t="shared" si="59"/>
        <v>568</v>
      </c>
      <c r="G944" s="2">
        <f t="shared" si="60"/>
        <v>-140.5</v>
      </c>
      <c r="H944" s="2">
        <f t="shared" si="57"/>
        <v>19740.25</v>
      </c>
    </row>
    <row r="945" spans="1:8" x14ac:dyDescent="0.25">
      <c r="A945" s="7">
        <v>95.588235294117652</v>
      </c>
      <c r="B945">
        <v>70.909090909090907</v>
      </c>
      <c r="C945" s="7">
        <v>95.588235294117652</v>
      </c>
      <c r="D945">
        <v>70.909090909090907</v>
      </c>
      <c r="E945" s="2">
        <f t="shared" si="58"/>
        <v>461</v>
      </c>
      <c r="F945" s="2">
        <f t="shared" si="59"/>
        <v>563</v>
      </c>
      <c r="G945" s="2">
        <f t="shared" si="60"/>
        <v>-102</v>
      </c>
      <c r="H945" s="2">
        <f t="shared" si="57"/>
        <v>10404</v>
      </c>
    </row>
    <row r="946" spans="1:8" x14ac:dyDescent="0.25">
      <c r="A946" s="7">
        <v>77.777777777777786</v>
      </c>
      <c r="B946">
        <v>66.666666666666657</v>
      </c>
      <c r="C946" s="7">
        <v>77.777777777777786</v>
      </c>
      <c r="D946">
        <v>66.666666666666657</v>
      </c>
      <c r="E946" s="2">
        <f t="shared" si="58"/>
        <v>160</v>
      </c>
      <c r="F946" s="2">
        <f t="shared" si="59"/>
        <v>519.5</v>
      </c>
      <c r="G946" s="2">
        <f t="shared" si="60"/>
        <v>-359.5</v>
      </c>
      <c r="H946" s="2">
        <f t="shared" si="57"/>
        <v>129240.25</v>
      </c>
    </row>
    <row r="947" spans="1:8" x14ac:dyDescent="0.25">
      <c r="A947" s="7">
        <v>97.647058823529406</v>
      </c>
      <c r="B947">
        <v>73.255813953488371</v>
      </c>
      <c r="C947" s="7">
        <v>97.647058823529406</v>
      </c>
      <c r="D947">
        <v>73.255813953488371</v>
      </c>
      <c r="E947" s="2">
        <f t="shared" si="58"/>
        <v>522</v>
      </c>
      <c r="F947" s="2">
        <f t="shared" si="59"/>
        <v>590</v>
      </c>
      <c r="G947" s="2">
        <f t="shared" si="60"/>
        <v>-68</v>
      </c>
      <c r="H947" s="2">
        <f t="shared" si="57"/>
        <v>4624</v>
      </c>
    </row>
    <row r="948" spans="1:8" x14ac:dyDescent="0.25">
      <c r="A948" s="7">
        <v>100</v>
      </c>
      <c r="B948">
        <v>85.714285714285708</v>
      </c>
      <c r="C948" s="7">
        <v>100</v>
      </c>
      <c r="D948">
        <v>85.714285714285708</v>
      </c>
      <c r="E948" s="2">
        <f t="shared" si="58"/>
        <v>782</v>
      </c>
      <c r="F948" s="2">
        <f t="shared" si="59"/>
        <v>720</v>
      </c>
      <c r="G948" s="2">
        <f t="shared" si="60"/>
        <v>62</v>
      </c>
      <c r="H948" s="2">
        <f t="shared" si="57"/>
        <v>3844</v>
      </c>
    </row>
    <row r="949" spans="1:8" x14ac:dyDescent="0.25">
      <c r="A949" s="7">
        <v>89.393939393939391</v>
      </c>
      <c r="B949">
        <v>0</v>
      </c>
      <c r="C949" s="7">
        <v>89.393939393939391</v>
      </c>
      <c r="D949">
        <v>0</v>
      </c>
      <c r="E949" s="2">
        <f t="shared" si="58"/>
        <v>311</v>
      </c>
      <c r="F949" s="2">
        <f t="shared" si="59"/>
        <v>199.5</v>
      </c>
      <c r="G949" s="2">
        <f t="shared" si="60"/>
        <v>111.5</v>
      </c>
      <c r="H949" s="2">
        <f t="shared" si="57"/>
        <v>12432.25</v>
      </c>
    </row>
    <row r="950" spans="1:8" x14ac:dyDescent="0.25">
      <c r="A950" s="7">
        <v>83.870967741935488</v>
      </c>
      <c r="B950">
        <v>80</v>
      </c>
      <c r="C950" s="7">
        <v>83.870967741935488</v>
      </c>
      <c r="D950">
        <v>80</v>
      </c>
      <c r="E950" s="2">
        <f t="shared" si="58"/>
        <v>221</v>
      </c>
      <c r="F950" s="2">
        <f t="shared" si="59"/>
        <v>649.5</v>
      </c>
      <c r="G950" s="2">
        <f t="shared" si="60"/>
        <v>-428.5</v>
      </c>
      <c r="H950" s="2">
        <f t="shared" si="57"/>
        <v>183612.25</v>
      </c>
    </row>
    <row r="951" spans="1:8" x14ac:dyDescent="0.25">
      <c r="A951" s="7">
        <v>89.090909090909093</v>
      </c>
      <c r="B951">
        <v>70.769230769230774</v>
      </c>
      <c r="C951" s="7">
        <v>89.090909090909093</v>
      </c>
      <c r="D951">
        <v>70.769230769230774</v>
      </c>
      <c r="E951" s="2">
        <f t="shared" si="58"/>
        <v>305</v>
      </c>
      <c r="F951" s="2">
        <f t="shared" si="59"/>
        <v>560</v>
      </c>
      <c r="G951" s="2">
        <f t="shared" si="60"/>
        <v>-255</v>
      </c>
      <c r="H951" s="2">
        <f t="shared" si="57"/>
        <v>65025</v>
      </c>
    </row>
    <row r="952" spans="1:8" x14ac:dyDescent="0.25">
      <c r="A952" s="7">
        <v>88.461538461538453</v>
      </c>
      <c r="B952">
        <v>63.636363636363633</v>
      </c>
      <c r="C952" s="7">
        <v>88.461538461538453</v>
      </c>
      <c r="D952">
        <v>63.636363636363633</v>
      </c>
      <c r="E952" s="2">
        <f t="shared" si="58"/>
        <v>290</v>
      </c>
      <c r="F952" s="2">
        <f t="shared" si="59"/>
        <v>499</v>
      </c>
      <c r="G952" s="2">
        <f t="shared" si="60"/>
        <v>-209</v>
      </c>
      <c r="H952" s="2">
        <f t="shared" si="57"/>
        <v>43681</v>
      </c>
    </row>
    <row r="953" spans="1:8" x14ac:dyDescent="0.25">
      <c r="A953" s="7">
        <v>77.777777777777786</v>
      </c>
      <c r="B953">
        <v>100</v>
      </c>
      <c r="C953" s="7">
        <v>77.777777777777786</v>
      </c>
      <c r="D953">
        <v>100</v>
      </c>
      <c r="E953" s="2">
        <f t="shared" si="58"/>
        <v>160</v>
      </c>
      <c r="F953" s="2">
        <f t="shared" si="59"/>
        <v>943.5</v>
      </c>
      <c r="G953" s="2">
        <f t="shared" si="60"/>
        <v>-783.5</v>
      </c>
      <c r="H953" s="2">
        <f t="shared" ref="H953:H1003" si="61">IF(C953="","",G953^2)</f>
        <v>613872.25</v>
      </c>
    </row>
    <row r="954" spans="1:8" x14ac:dyDescent="0.25">
      <c r="A954" s="7">
        <v>99.242424242424249</v>
      </c>
      <c r="B954">
        <v>82.638888888888886</v>
      </c>
      <c r="C954" s="7">
        <v>99.242424242424249</v>
      </c>
      <c r="D954">
        <v>82.638888888888886</v>
      </c>
      <c r="E954" s="2">
        <f t="shared" si="58"/>
        <v>559</v>
      </c>
      <c r="F954" s="2">
        <f t="shared" si="59"/>
        <v>680</v>
      </c>
      <c r="G954" s="2">
        <f t="shared" si="60"/>
        <v>-121</v>
      </c>
      <c r="H954" s="2">
        <f t="shared" si="61"/>
        <v>14641</v>
      </c>
    </row>
    <row r="955" spans="1:8" x14ac:dyDescent="0.25">
      <c r="A955" s="7">
        <v>100</v>
      </c>
      <c r="B955">
        <v>0</v>
      </c>
      <c r="C955" s="7">
        <v>100</v>
      </c>
      <c r="D955">
        <v>0</v>
      </c>
      <c r="E955" s="2">
        <f t="shared" si="58"/>
        <v>782</v>
      </c>
      <c r="F955" s="2">
        <f t="shared" si="59"/>
        <v>199.5</v>
      </c>
      <c r="G955" s="2">
        <f t="shared" si="60"/>
        <v>582.5</v>
      </c>
      <c r="H955" s="2">
        <f t="shared" si="61"/>
        <v>339306.25</v>
      </c>
    </row>
    <row r="956" spans="1:8" x14ac:dyDescent="0.25">
      <c r="A956" s="7">
        <v>25</v>
      </c>
      <c r="B956">
        <v>0</v>
      </c>
      <c r="C956" s="7">
        <v>25</v>
      </c>
      <c r="D956">
        <v>0</v>
      </c>
      <c r="E956" s="2">
        <f t="shared" si="58"/>
        <v>46</v>
      </c>
      <c r="F956" s="2">
        <f t="shared" si="59"/>
        <v>199.5</v>
      </c>
      <c r="G956" s="2">
        <f t="shared" si="60"/>
        <v>-153.5</v>
      </c>
      <c r="H956" s="2">
        <f t="shared" si="61"/>
        <v>23562.25</v>
      </c>
    </row>
    <row r="957" spans="1:8" x14ac:dyDescent="0.25">
      <c r="A957" s="7">
        <v>60</v>
      </c>
      <c r="B957">
        <v>100</v>
      </c>
      <c r="C957" s="7">
        <v>60</v>
      </c>
      <c r="D957">
        <v>100</v>
      </c>
      <c r="E957" s="2">
        <f t="shared" si="58"/>
        <v>88.5</v>
      </c>
      <c r="F957" s="2">
        <f t="shared" si="59"/>
        <v>943.5</v>
      </c>
      <c r="G957" s="2">
        <f t="shared" si="60"/>
        <v>-855</v>
      </c>
      <c r="H957" s="2">
        <f t="shared" si="61"/>
        <v>731025</v>
      </c>
    </row>
    <row r="958" spans="1:8" x14ac:dyDescent="0.25">
      <c r="A958" s="7">
        <v>72</v>
      </c>
      <c r="B958">
        <v>53.763440860215049</v>
      </c>
      <c r="C958" s="7">
        <v>72</v>
      </c>
      <c r="D958">
        <v>53.763440860215049</v>
      </c>
      <c r="E958" s="2">
        <f t="shared" si="58"/>
        <v>120</v>
      </c>
      <c r="F958" s="2">
        <f t="shared" si="59"/>
        <v>445</v>
      </c>
      <c r="G958" s="2">
        <f t="shared" si="60"/>
        <v>-325</v>
      </c>
      <c r="H958" s="2">
        <f t="shared" si="61"/>
        <v>105625</v>
      </c>
    </row>
    <row r="959" spans="1:8" x14ac:dyDescent="0.25">
      <c r="A959" s="7">
        <v>89.473684210526315</v>
      </c>
      <c r="B959">
        <v>62.5</v>
      </c>
      <c r="C959" s="7">
        <v>89.473684210526315</v>
      </c>
      <c r="D959">
        <v>62.5</v>
      </c>
      <c r="E959" s="2">
        <f t="shared" si="58"/>
        <v>313.5</v>
      </c>
      <c r="F959" s="2">
        <f t="shared" si="59"/>
        <v>492</v>
      </c>
      <c r="G959" s="2">
        <f t="shared" si="60"/>
        <v>-178.5</v>
      </c>
      <c r="H959" s="2">
        <f t="shared" si="61"/>
        <v>31862.25</v>
      </c>
    </row>
    <row r="960" spans="1:8" x14ac:dyDescent="0.25">
      <c r="A960" s="7">
        <v>97.777777777777771</v>
      </c>
      <c r="B960">
        <v>92.307692307692307</v>
      </c>
      <c r="C960" s="7">
        <v>97.777777777777771</v>
      </c>
      <c r="D960">
        <v>92.307692307692307</v>
      </c>
      <c r="E960" s="2">
        <f t="shared" si="58"/>
        <v>530</v>
      </c>
      <c r="F960" s="2">
        <f t="shared" si="59"/>
        <v>825.5</v>
      </c>
      <c r="G960" s="2">
        <f t="shared" si="60"/>
        <v>-295.5</v>
      </c>
      <c r="H960" s="2">
        <f t="shared" si="61"/>
        <v>87320.25</v>
      </c>
    </row>
    <row r="961" spans="1:8" x14ac:dyDescent="0.25">
      <c r="A961" s="7">
        <v>63.636363636363633</v>
      </c>
      <c r="B961">
        <v>60.256410256410255</v>
      </c>
      <c r="C961" s="7">
        <v>63.636363636363633</v>
      </c>
      <c r="D961">
        <v>60.256410256410255</v>
      </c>
      <c r="E961" s="2">
        <f t="shared" si="58"/>
        <v>102</v>
      </c>
      <c r="F961" s="2">
        <f t="shared" si="59"/>
        <v>478.5</v>
      </c>
      <c r="G961" s="2">
        <f t="shared" si="60"/>
        <v>-376.5</v>
      </c>
      <c r="H961" s="2">
        <f t="shared" si="61"/>
        <v>141752.25</v>
      </c>
    </row>
    <row r="962" spans="1:8" x14ac:dyDescent="0.25">
      <c r="A962" s="7">
        <v>100</v>
      </c>
      <c r="B962">
        <v>0</v>
      </c>
      <c r="C962" s="7">
        <v>100</v>
      </c>
      <c r="D962">
        <v>0</v>
      </c>
      <c r="E962" s="2">
        <f t="shared" si="58"/>
        <v>782</v>
      </c>
      <c r="F962" s="2">
        <f t="shared" si="59"/>
        <v>199.5</v>
      </c>
      <c r="G962" s="2">
        <f t="shared" si="60"/>
        <v>582.5</v>
      </c>
      <c r="H962" s="2">
        <f t="shared" si="61"/>
        <v>339306.25</v>
      </c>
    </row>
    <row r="963" spans="1:8" x14ac:dyDescent="0.25">
      <c r="A963" s="7">
        <v>100</v>
      </c>
      <c r="B963">
        <v>0</v>
      </c>
      <c r="C963" s="7">
        <v>100</v>
      </c>
      <c r="D963">
        <v>0</v>
      </c>
      <c r="E963" s="2">
        <f t="shared" ref="E963:E1003" si="62">IF(C963="","",_xlfn.RANK.AVG(C963,C$2:C$1003,1))</f>
        <v>782</v>
      </c>
      <c r="F963" s="2">
        <f t="shared" ref="F963:F1003" si="63">IF(D963="","",_xlfn.RANK.AVG(D963,D$2:D$1003,1))</f>
        <v>199.5</v>
      </c>
      <c r="G963" s="2">
        <f t="shared" ref="G963:G1003" si="64">IF(C963="","",E963-F963)</f>
        <v>582.5</v>
      </c>
      <c r="H963" s="2">
        <f t="shared" si="61"/>
        <v>339306.25</v>
      </c>
    </row>
    <row r="964" spans="1:8" x14ac:dyDescent="0.25">
      <c r="A964" s="7">
        <v>100</v>
      </c>
      <c r="B964">
        <v>85.714285714285708</v>
      </c>
      <c r="C964" s="7">
        <v>100</v>
      </c>
      <c r="D964">
        <v>85.714285714285708</v>
      </c>
      <c r="E964" s="2">
        <f t="shared" si="62"/>
        <v>782</v>
      </c>
      <c r="F964" s="2">
        <f t="shared" si="63"/>
        <v>720</v>
      </c>
      <c r="G964" s="2">
        <f t="shared" si="64"/>
        <v>62</v>
      </c>
      <c r="H964" s="2">
        <f t="shared" si="61"/>
        <v>3844</v>
      </c>
    </row>
    <row r="965" spans="1:8" x14ac:dyDescent="0.25">
      <c r="A965" s="7">
        <v>75</v>
      </c>
      <c r="B965">
        <v>0</v>
      </c>
      <c r="C965" s="7">
        <v>75</v>
      </c>
      <c r="D965">
        <v>0</v>
      </c>
      <c r="E965" s="2">
        <f t="shared" si="62"/>
        <v>139</v>
      </c>
      <c r="F965" s="2">
        <f t="shared" si="63"/>
        <v>199.5</v>
      </c>
      <c r="G965" s="2">
        <f t="shared" si="64"/>
        <v>-60.5</v>
      </c>
      <c r="H965" s="2">
        <f t="shared" si="61"/>
        <v>3660.25</v>
      </c>
    </row>
    <row r="966" spans="1:8" x14ac:dyDescent="0.25">
      <c r="A966" s="7">
        <v>92.1875</v>
      </c>
      <c r="B966">
        <v>60.256410256410255</v>
      </c>
      <c r="C966" s="7">
        <v>92.1875</v>
      </c>
      <c r="D966">
        <v>60.256410256410255</v>
      </c>
      <c r="E966" s="2">
        <f t="shared" si="62"/>
        <v>386.5</v>
      </c>
      <c r="F966" s="2">
        <f t="shared" si="63"/>
        <v>478.5</v>
      </c>
      <c r="G966" s="2">
        <f t="shared" si="64"/>
        <v>-92</v>
      </c>
      <c r="H966" s="2">
        <f t="shared" si="61"/>
        <v>8464</v>
      </c>
    </row>
    <row r="967" spans="1:8" x14ac:dyDescent="0.25">
      <c r="A967" s="7">
        <v>25</v>
      </c>
      <c r="B967">
        <v>0</v>
      </c>
      <c r="C967" s="7">
        <v>25</v>
      </c>
      <c r="D967">
        <v>0</v>
      </c>
      <c r="E967" s="2">
        <f t="shared" si="62"/>
        <v>46</v>
      </c>
      <c r="F967" s="2">
        <f t="shared" si="63"/>
        <v>199.5</v>
      </c>
      <c r="G967" s="2">
        <f t="shared" si="64"/>
        <v>-153.5</v>
      </c>
      <c r="H967" s="2">
        <f t="shared" si="61"/>
        <v>23562.25</v>
      </c>
    </row>
    <row r="968" spans="1:8" x14ac:dyDescent="0.25">
      <c r="A968" s="7">
        <v>40</v>
      </c>
      <c r="B968">
        <v>50</v>
      </c>
      <c r="C968" s="7">
        <v>40</v>
      </c>
      <c r="D968">
        <v>50</v>
      </c>
      <c r="E968" s="2">
        <f t="shared" si="62"/>
        <v>54.5</v>
      </c>
      <c r="F968" s="2">
        <f t="shared" si="63"/>
        <v>430.5</v>
      </c>
      <c r="G968" s="2">
        <f t="shared" si="64"/>
        <v>-376</v>
      </c>
      <c r="H968" s="2">
        <f t="shared" si="61"/>
        <v>141376</v>
      </c>
    </row>
    <row r="969" spans="1:8" x14ac:dyDescent="0.25">
      <c r="A969" s="7">
        <v>100</v>
      </c>
      <c r="B969">
        <v>93.333333333333329</v>
      </c>
      <c r="C969" s="7">
        <v>100</v>
      </c>
      <c r="D969">
        <v>93.333333333333329</v>
      </c>
      <c r="E969" s="2">
        <f t="shared" si="62"/>
        <v>782</v>
      </c>
      <c r="F969" s="2">
        <f t="shared" si="63"/>
        <v>839</v>
      </c>
      <c r="G969" s="2">
        <f t="shared" si="64"/>
        <v>-57</v>
      </c>
      <c r="H969" s="2">
        <f t="shared" si="61"/>
        <v>3249</v>
      </c>
    </row>
    <row r="970" spans="1:8" x14ac:dyDescent="0.25">
      <c r="A970" s="7">
        <v>100</v>
      </c>
      <c r="B970">
        <v>100</v>
      </c>
      <c r="C970" s="7">
        <v>100</v>
      </c>
      <c r="D970">
        <v>100</v>
      </c>
      <c r="E970" s="2">
        <f t="shared" si="62"/>
        <v>782</v>
      </c>
      <c r="F970" s="2">
        <f t="shared" si="63"/>
        <v>943.5</v>
      </c>
      <c r="G970" s="2">
        <f t="shared" si="64"/>
        <v>-161.5</v>
      </c>
      <c r="H970" s="2">
        <f t="shared" si="61"/>
        <v>26082.25</v>
      </c>
    </row>
    <row r="971" spans="1:8" x14ac:dyDescent="0.25">
      <c r="A971" s="7">
        <v>100</v>
      </c>
      <c r="B971">
        <v>100</v>
      </c>
      <c r="C971" s="7">
        <v>100</v>
      </c>
      <c r="D971">
        <v>100</v>
      </c>
      <c r="E971" s="2">
        <f t="shared" si="62"/>
        <v>782</v>
      </c>
      <c r="F971" s="2">
        <f t="shared" si="63"/>
        <v>943.5</v>
      </c>
      <c r="G971" s="2">
        <f t="shared" si="64"/>
        <v>-161.5</v>
      </c>
      <c r="H971" s="2">
        <f t="shared" si="61"/>
        <v>26082.25</v>
      </c>
    </row>
    <row r="972" spans="1:8" x14ac:dyDescent="0.25">
      <c r="A972" s="7">
        <v>100</v>
      </c>
      <c r="B972">
        <v>100</v>
      </c>
      <c r="C972" s="7">
        <v>100</v>
      </c>
      <c r="D972">
        <v>100</v>
      </c>
      <c r="E972" s="2">
        <f t="shared" si="62"/>
        <v>782</v>
      </c>
      <c r="F972" s="2">
        <f t="shared" si="63"/>
        <v>943.5</v>
      </c>
      <c r="G972" s="2">
        <f t="shared" si="64"/>
        <v>-161.5</v>
      </c>
      <c r="H972" s="2">
        <f t="shared" si="61"/>
        <v>26082.25</v>
      </c>
    </row>
    <row r="973" spans="1:8" x14ac:dyDescent="0.25">
      <c r="A973" s="7">
        <v>100</v>
      </c>
      <c r="B973">
        <v>100</v>
      </c>
      <c r="C973" s="7">
        <v>100</v>
      </c>
      <c r="D973">
        <v>100</v>
      </c>
      <c r="E973" s="2">
        <f t="shared" si="62"/>
        <v>782</v>
      </c>
      <c r="F973" s="2">
        <f t="shared" si="63"/>
        <v>943.5</v>
      </c>
      <c r="G973" s="2">
        <f t="shared" si="64"/>
        <v>-161.5</v>
      </c>
      <c r="H973" s="2">
        <f t="shared" si="61"/>
        <v>26082.25</v>
      </c>
    </row>
    <row r="974" spans="1:8" x14ac:dyDescent="0.25">
      <c r="A974" s="7">
        <v>100</v>
      </c>
      <c r="B974">
        <v>18.181818181818183</v>
      </c>
      <c r="C974" s="7">
        <v>100</v>
      </c>
      <c r="D974">
        <v>18.181818181818183</v>
      </c>
      <c r="E974" s="2">
        <f t="shared" si="62"/>
        <v>782</v>
      </c>
      <c r="F974" s="2">
        <f t="shared" si="63"/>
        <v>400</v>
      </c>
      <c r="G974" s="2">
        <f t="shared" si="64"/>
        <v>382</v>
      </c>
      <c r="H974" s="2">
        <f t="shared" si="61"/>
        <v>145924</v>
      </c>
    </row>
    <row r="975" spans="1:8" x14ac:dyDescent="0.25">
      <c r="A975" s="7">
        <v>83.333333333333343</v>
      </c>
      <c r="B975">
        <v>0</v>
      </c>
      <c r="C975" s="7">
        <v>83.333333333333343</v>
      </c>
      <c r="D975">
        <v>0</v>
      </c>
      <c r="E975" s="2">
        <f t="shared" si="62"/>
        <v>212.5</v>
      </c>
      <c r="F975" s="2">
        <f t="shared" si="63"/>
        <v>199.5</v>
      </c>
      <c r="G975" s="2">
        <f t="shared" si="64"/>
        <v>13</v>
      </c>
      <c r="H975" s="2">
        <f t="shared" si="61"/>
        <v>169</v>
      </c>
    </row>
    <row r="976" spans="1:8" x14ac:dyDescent="0.25">
      <c r="A976" s="7">
        <v>100</v>
      </c>
      <c r="B976">
        <v>100</v>
      </c>
      <c r="C976" s="7">
        <v>100</v>
      </c>
      <c r="D976">
        <v>100</v>
      </c>
      <c r="E976" s="2">
        <f t="shared" si="62"/>
        <v>782</v>
      </c>
      <c r="F976" s="2">
        <f t="shared" si="63"/>
        <v>943.5</v>
      </c>
      <c r="G976" s="2">
        <f t="shared" si="64"/>
        <v>-161.5</v>
      </c>
      <c r="H976" s="2">
        <f t="shared" si="61"/>
        <v>26082.25</v>
      </c>
    </row>
    <row r="977" spans="1:8" x14ac:dyDescent="0.25">
      <c r="A977" s="7">
        <v>85.714285714285708</v>
      </c>
      <c r="B977">
        <v>81.818181818181827</v>
      </c>
      <c r="C977" s="7">
        <v>85.714285714285708</v>
      </c>
      <c r="D977">
        <v>81.818181818181827</v>
      </c>
      <c r="E977" s="2">
        <f t="shared" si="62"/>
        <v>243</v>
      </c>
      <c r="F977" s="2">
        <f t="shared" si="63"/>
        <v>664</v>
      </c>
      <c r="G977" s="2">
        <f t="shared" si="64"/>
        <v>-421</v>
      </c>
      <c r="H977" s="2">
        <f t="shared" si="61"/>
        <v>177241</v>
      </c>
    </row>
    <row r="978" spans="1:8" x14ac:dyDescent="0.25">
      <c r="A978" s="7">
        <v>90.322580645161281</v>
      </c>
      <c r="B978">
        <v>44.505494505494504</v>
      </c>
      <c r="C978" s="7">
        <v>90.322580645161281</v>
      </c>
      <c r="D978">
        <v>44.505494505494504</v>
      </c>
      <c r="E978" s="2">
        <f t="shared" si="62"/>
        <v>337</v>
      </c>
      <c r="F978" s="2">
        <f t="shared" si="63"/>
        <v>417.5</v>
      </c>
      <c r="G978" s="2">
        <f t="shared" si="64"/>
        <v>-80.5</v>
      </c>
      <c r="H978" s="2">
        <f t="shared" si="61"/>
        <v>6480.25</v>
      </c>
    </row>
    <row r="979" spans="1:8" x14ac:dyDescent="0.25">
      <c r="A979" s="7">
        <v>88.888888888888886</v>
      </c>
      <c r="B979">
        <v>0</v>
      </c>
      <c r="C979" s="7">
        <v>88.888888888888886</v>
      </c>
      <c r="D979">
        <v>0</v>
      </c>
      <c r="E979" s="2">
        <f t="shared" si="62"/>
        <v>298.5</v>
      </c>
      <c r="F979" s="2">
        <f t="shared" si="63"/>
        <v>199.5</v>
      </c>
      <c r="G979" s="2">
        <f t="shared" si="64"/>
        <v>99</v>
      </c>
      <c r="H979" s="2">
        <f t="shared" si="61"/>
        <v>9801</v>
      </c>
    </row>
    <row r="980" spans="1:8" x14ac:dyDescent="0.25">
      <c r="A980" s="7">
        <v>100</v>
      </c>
      <c r="B980">
        <v>100</v>
      </c>
      <c r="C980" s="7">
        <v>100</v>
      </c>
      <c r="D980">
        <v>100</v>
      </c>
      <c r="E980" s="2">
        <f t="shared" si="62"/>
        <v>782</v>
      </c>
      <c r="F980" s="2">
        <f t="shared" si="63"/>
        <v>943.5</v>
      </c>
      <c r="G980" s="2">
        <f t="shared" si="64"/>
        <v>-161.5</v>
      </c>
      <c r="H980" s="2">
        <f t="shared" si="61"/>
        <v>26082.25</v>
      </c>
    </row>
    <row r="981" spans="1:8" x14ac:dyDescent="0.25">
      <c r="A981" s="7">
        <v>96.078431372549019</v>
      </c>
      <c r="B981">
        <v>84.848484848484844</v>
      </c>
      <c r="C981" s="7">
        <v>96.078431372549019</v>
      </c>
      <c r="D981">
        <v>84.848484848484844</v>
      </c>
      <c r="E981" s="2">
        <f t="shared" si="62"/>
        <v>476.5</v>
      </c>
      <c r="F981" s="2">
        <f t="shared" si="63"/>
        <v>712</v>
      </c>
      <c r="G981" s="2">
        <f t="shared" si="64"/>
        <v>-235.5</v>
      </c>
      <c r="H981" s="2">
        <f t="shared" si="61"/>
        <v>55460.25</v>
      </c>
    </row>
    <row r="982" spans="1:8" x14ac:dyDescent="0.25">
      <c r="A982" s="7">
        <v>95.041322314049594</v>
      </c>
      <c r="B982">
        <v>82.173913043478265</v>
      </c>
      <c r="C982" s="7">
        <v>95.041322314049594</v>
      </c>
      <c r="D982">
        <v>82.173913043478265</v>
      </c>
      <c r="E982" s="2">
        <f t="shared" si="62"/>
        <v>440</v>
      </c>
      <c r="F982" s="2">
        <f t="shared" si="63"/>
        <v>669.5</v>
      </c>
      <c r="G982" s="2">
        <f t="shared" si="64"/>
        <v>-229.5</v>
      </c>
      <c r="H982" s="2">
        <f t="shared" si="61"/>
        <v>52670.25</v>
      </c>
    </row>
    <row r="983" spans="1:8" x14ac:dyDescent="0.25">
      <c r="A983" s="7">
        <v>100</v>
      </c>
      <c r="B983">
        <v>100</v>
      </c>
      <c r="C983" s="7">
        <v>100</v>
      </c>
      <c r="D983">
        <v>100</v>
      </c>
      <c r="E983" s="2">
        <f t="shared" si="62"/>
        <v>782</v>
      </c>
      <c r="F983" s="2">
        <f t="shared" si="63"/>
        <v>943.5</v>
      </c>
      <c r="G983" s="2">
        <f t="shared" si="64"/>
        <v>-161.5</v>
      </c>
      <c r="H983" s="2">
        <f t="shared" si="61"/>
        <v>26082.25</v>
      </c>
    </row>
    <row r="984" spans="1:8" x14ac:dyDescent="0.25">
      <c r="A984" s="7">
        <v>100</v>
      </c>
      <c r="B984">
        <v>84.615384615384613</v>
      </c>
      <c r="C984" s="7">
        <v>100</v>
      </c>
      <c r="D984">
        <v>84.615384615384613</v>
      </c>
      <c r="E984" s="2">
        <f t="shared" si="62"/>
        <v>782</v>
      </c>
      <c r="F984" s="2">
        <f t="shared" si="63"/>
        <v>706.5</v>
      </c>
      <c r="G984" s="2">
        <f t="shared" si="64"/>
        <v>75.5</v>
      </c>
      <c r="H984" s="2">
        <f t="shared" si="61"/>
        <v>5700.25</v>
      </c>
    </row>
    <row r="985" spans="1:8" x14ac:dyDescent="0.25">
      <c r="A985" s="7">
        <v>100</v>
      </c>
      <c r="B985">
        <v>100</v>
      </c>
      <c r="C985" s="7">
        <v>100</v>
      </c>
      <c r="D985">
        <v>100</v>
      </c>
      <c r="E985" s="2">
        <f t="shared" si="62"/>
        <v>782</v>
      </c>
      <c r="F985" s="2">
        <f t="shared" si="63"/>
        <v>943.5</v>
      </c>
      <c r="G985" s="2">
        <f t="shared" si="64"/>
        <v>-161.5</v>
      </c>
      <c r="H985" s="2">
        <f t="shared" si="61"/>
        <v>26082.25</v>
      </c>
    </row>
    <row r="986" spans="1:8" x14ac:dyDescent="0.25">
      <c r="A986" s="7">
        <v>100</v>
      </c>
      <c r="B986">
        <v>100</v>
      </c>
      <c r="C986" s="7">
        <v>100</v>
      </c>
      <c r="D986">
        <v>100</v>
      </c>
      <c r="E986" s="2">
        <f t="shared" si="62"/>
        <v>782</v>
      </c>
      <c r="F986" s="2">
        <f t="shared" si="63"/>
        <v>943.5</v>
      </c>
      <c r="G986" s="2">
        <f t="shared" si="64"/>
        <v>-161.5</v>
      </c>
      <c r="H986" s="2">
        <f t="shared" si="61"/>
        <v>26082.25</v>
      </c>
    </row>
    <row r="987" spans="1:8" x14ac:dyDescent="0.25">
      <c r="A987" s="7">
        <v>100</v>
      </c>
      <c r="B987">
        <v>100</v>
      </c>
      <c r="C987" s="7">
        <v>100</v>
      </c>
      <c r="D987">
        <v>100</v>
      </c>
      <c r="E987" s="2">
        <f t="shared" si="62"/>
        <v>782</v>
      </c>
      <c r="F987" s="2">
        <f t="shared" si="63"/>
        <v>943.5</v>
      </c>
      <c r="G987" s="2">
        <f t="shared" si="64"/>
        <v>-161.5</v>
      </c>
      <c r="H987" s="2">
        <f t="shared" si="61"/>
        <v>26082.25</v>
      </c>
    </row>
    <row r="988" spans="1:8" x14ac:dyDescent="0.25">
      <c r="A988" s="7">
        <v>100</v>
      </c>
      <c r="B988">
        <v>100</v>
      </c>
      <c r="C988" s="7">
        <v>100</v>
      </c>
      <c r="D988">
        <v>100</v>
      </c>
      <c r="E988" s="2">
        <f t="shared" si="62"/>
        <v>782</v>
      </c>
      <c r="F988" s="2">
        <f t="shared" si="63"/>
        <v>943.5</v>
      </c>
      <c r="G988" s="2">
        <f t="shared" si="64"/>
        <v>-161.5</v>
      </c>
      <c r="H988" s="2">
        <f t="shared" si="61"/>
        <v>26082.25</v>
      </c>
    </row>
    <row r="989" spans="1:8" x14ac:dyDescent="0.25">
      <c r="A989" s="7">
        <v>100</v>
      </c>
      <c r="B989">
        <v>100</v>
      </c>
      <c r="C989" s="7">
        <v>100</v>
      </c>
      <c r="D989">
        <v>100</v>
      </c>
      <c r="E989" s="2">
        <f t="shared" si="62"/>
        <v>782</v>
      </c>
      <c r="F989" s="2">
        <f t="shared" si="63"/>
        <v>943.5</v>
      </c>
      <c r="G989" s="2">
        <f t="shared" si="64"/>
        <v>-161.5</v>
      </c>
      <c r="H989" s="2">
        <f t="shared" si="61"/>
        <v>26082.25</v>
      </c>
    </row>
    <row r="990" spans="1:8" x14ac:dyDescent="0.25">
      <c r="A990" s="7">
        <v>100</v>
      </c>
      <c r="B990">
        <v>0</v>
      </c>
      <c r="C990" s="7">
        <v>100</v>
      </c>
      <c r="D990">
        <v>0</v>
      </c>
      <c r="E990" s="2">
        <f t="shared" si="62"/>
        <v>782</v>
      </c>
      <c r="F990" s="2">
        <f t="shared" si="63"/>
        <v>199.5</v>
      </c>
      <c r="G990" s="2">
        <f t="shared" si="64"/>
        <v>582.5</v>
      </c>
      <c r="H990" s="2">
        <f t="shared" si="61"/>
        <v>339306.25</v>
      </c>
    </row>
    <row r="991" spans="1:8" x14ac:dyDescent="0.25">
      <c r="A991" s="7">
        <v>100</v>
      </c>
      <c r="B991">
        <v>0</v>
      </c>
      <c r="C991" s="7">
        <v>100</v>
      </c>
      <c r="D991">
        <v>0</v>
      </c>
      <c r="E991" s="2">
        <f t="shared" si="62"/>
        <v>782</v>
      </c>
      <c r="F991" s="2">
        <f t="shared" si="63"/>
        <v>199.5</v>
      </c>
      <c r="G991" s="2">
        <f t="shared" si="64"/>
        <v>582.5</v>
      </c>
      <c r="H991" s="2">
        <f t="shared" si="61"/>
        <v>339306.25</v>
      </c>
    </row>
    <row r="992" spans="1:8" x14ac:dyDescent="0.25">
      <c r="A992" s="7">
        <v>100</v>
      </c>
      <c r="B992">
        <v>0</v>
      </c>
      <c r="C992" s="7">
        <v>100</v>
      </c>
      <c r="D992">
        <v>0</v>
      </c>
      <c r="E992" s="2">
        <f t="shared" si="62"/>
        <v>782</v>
      </c>
      <c r="F992" s="2">
        <f t="shared" si="63"/>
        <v>199.5</v>
      </c>
      <c r="G992" s="2">
        <f t="shared" si="64"/>
        <v>582.5</v>
      </c>
      <c r="H992" s="2">
        <f t="shared" si="61"/>
        <v>339306.25</v>
      </c>
    </row>
    <row r="993" spans="1:8" x14ac:dyDescent="0.25">
      <c r="A993" s="7">
        <v>100</v>
      </c>
      <c r="B993">
        <v>0</v>
      </c>
      <c r="C993" s="7">
        <v>100</v>
      </c>
      <c r="D993">
        <v>0</v>
      </c>
      <c r="E993" s="2">
        <f t="shared" si="62"/>
        <v>782</v>
      </c>
      <c r="F993" s="2">
        <f t="shared" si="63"/>
        <v>199.5</v>
      </c>
      <c r="G993" s="2">
        <f t="shared" si="64"/>
        <v>582.5</v>
      </c>
      <c r="H993" s="2">
        <f t="shared" si="61"/>
        <v>339306.25</v>
      </c>
    </row>
    <row r="994" spans="1:8" x14ac:dyDescent="0.25">
      <c r="A994" s="7">
        <v>100</v>
      </c>
      <c r="B994">
        <v>0</v>
      </c>
      <c r="C994" s="7">
        <v>100</v>
      </c>
      <c r="D994">
        <v>0</v>
      </c>
      <c r="E994" s="2">
        <f t="shared" si="62"/>
        <v>782</v>
      </c>
      <c r="F994" s="2">
        <f t="shared" si="63"/>
        <v>199.5</v>
      </c>
      <c r="G994" s="2">
        <f t="shared" si="64"/>
        <v>582.5</v>
      </c>
      <c r="H994" s="2">
        <f t="shared" si="61"/>
        <v>339306.25</v>
      </c>
    </row>
    <row r="995" spans="1:8" x14ac:dyDescent="0.25">
      <c r="A995" s="7">
        <v>100</v>
      </c>
      <c r="B995">
        <v>88.888888888888886</v>
      </c>
      <c r="C995" s="7">
        <v>100</v>
      </c>
      <c r="D995">
        <v>88.888888888888886</v>
      </c>
      <c r="E995" s="2">
        <f t="shared" si="62"/>
        <v>782</v>
      </c>
      <c r="F995" s="2">
        <f t="shared" si="63"/>
        <v>777.5</v>
      </c>
      <c r="G995" s="2">
        <f t="shared" si="64"/>
        <v>4.5</v>
      </c>
      <c r="H995" s="2">
        <f t="shared" si="61"/>
        <v>20.25</v>
      </c>
    </row>
    <row r="996" spans="1:8" x14ac:dyDescent="0.25">
      <c r="A996" s="7">
        <v>100</v>
      </c>
      <c r="B996">
        <v>78.125</v>
      </c>
      <c r="C996" s="7">
        <v>100</v>
      </c>
      <c r="D996">
        <v>78.125</v>
      </c>
      <c r="E996" s="2">
        <f t="shared" si="62"/>
        <v>782</v>
      </c>
      <c r="F996" s="2">
        <f t="shared" si="63"/>
        <v>636</v>
      </c>
      <c r="G996" s="2">
        <f t="shared" si="64"/>
        <v>146</v>
      </c>
      <c r="H996" s="2">
        <f t="shared" si="61"/>
        <v>21316</v>
      </c>
    </row>
    <row r="997" spans="1:8" x14ac:dyDescent="0.25">
      <c r="A997" s="7">
        <v>91.304347826086953</v>
      </c>
      <c r="B997">
        <v>62.5</v>
      </c>
      <c r="C997" s="7">
        <v>91.304347826086953</v>
      </c>
      <c r="D997">
        <v>62.5</v>
      </c>
      <c r="E997" s="2">
        <f t="shared" si="62"/>
        <v>357.5</v>
      </c>
      <c r="F997" s="2">
        <f t="shared" si="63"/>
        <v>492</v>
      </c>
      <c r="G997" s="2">
        <f t="shared" si="64"/>
        <v>-134.5</v>
      </c>
      <c r="H997" s="2">
        <f t="shared" si="61"/>
        <v>18090.25</v>
      </c>
    </row>
    <row r="998" spans="1:8" x14ac:dyDescent="0.25">
      <c r="A998" s="7">
        <v>95.121951219512198</v>
      </c>
      <c r="B998">
        <v>0</v>
      </c>
      <c r="C998" s="7">
        <v>95.121951219512198</v>
      </c>
      <c r="D998">
        <v>0</v>
      </c>
      <c r="E998" s="2">
        <f t="shared" si="62"/>
        <v>443.5</v>
      </c>
      <c r="F998" s="2">
        <f t="shared" si="63"/>
        <v>199.5</v>
      </c>
      <c r="G998" s="2">
        <f t="shared" si="64"/>
        <v>244</v>
      </c>
      <c r="H998" s="2">
        <f t="shared" si="61"/>
        <v>59536</v>
      </c>
    </row>
    <row r="999" spans="1:8" x14ac:dyDescent="0.25">
      <c r="A999" s="7">
        <v>95.121951219512198</v>
      </c>
      <c r="B999">
        <v>0</v>
      </c>
      <c r="C999" s="7">
        <v>95.121951219512198</v>
      </c>
      <c r="D999">
        <v>0</v>
      </c>
      <c r="E999" s="2">
        <f t="shared" si="62"/>
        <v>443.5</v>
      </c>
      <c r="F999" s="2">
        <f t="shared" si="63"/>
        <v>199.5</v>
      </c>
      <c r="G999" s="2">
        <f t="shared" si="64"/>
        <v>244</v>
      </c>
      <c r="H999" s="2">
        <f t="shared" si="61"/>
        <v>59536</v>
      </c>
    </row>
    <row r="1000" spans="1:8" x14ac:dyDescent="0.25">
      <c r="A1000" s="7">
        <v>92.72727272727272</v>
      </c>
      <c r="B1000">
        <v>76.59574468085107</v>
      </c>
      <c r="C1000" s="7">
        <v>92.72727272727272</v>
      </c>
      <c r="D1000">
        <v>76.59574468085107</v>
      </c>
      <c r="E1000" s="2">
        <f t="shared" si="62"/>
        <v>395</v>
      </c>
      <c r="F1000" s="2">
        <f t="shared" si="63"/>
        <v>622</v>
      </c>
      <c r="G1000" s="2">
        <f t="shared" si="64"/>
        <v>-227</v>
      </c>
      <c r="H1000" s="2">
        <f t="shared" si="61"/>
        <v>51529</v>
      </c>
    </row>
    <row r="1001" spans="1:8" x14ac:dyDescent="0.25">
      <c r="A1001" s="7">
        <v>60</v>
      </c>
      <c r="B1001">
        <v>0</v>
      </c>
      <c r="C1001" s="7">
        <v>60</v>
      </c>
      <c r="D1001">
        <v>0</v>
      </c>
      <c r="E1001" s="2">
        <f t="shared" si="62"/>
        <v>88.5</v>
      </c>
      <c r="F1001" s="2">
        <f t="shared" si="63"/>
        <v>199.5</v>
      </c>
      <c r="G1001" s="2">
        <f t="shared" si="64"/>
        <v>-111</v>
      </c>
      <c r="H1001" s="2">
        <f t="shared" si="61"/>
        <v>12321</v>
      </c>
    </row>
    <row r="1002" spans="1:8" x14ac:dyDescent="0.25">
      <c r="A1002" s="7">
        <v>100</v>
      </c>
      <c r="B1002">
        <v>0</v>
      </c>
      <c r="C1002" s="7">
        <v>100</v>
      </c>
      <c r="D1002">
        <v>0</v>
      </c>
      <c r="E1002" s="2">
        <f t="shared" si="62"/>
        <v>782</v>
      </c>
      <c r="F1002" s="2">
        <f t="shared" si="63"/>
        <v>199.5</v>
      </c>
      <c r="G1002" s="2">
        <f t="shared" si="64"/>
        <v>582.5</v>
      </c>
      <c r="H1002" s="2">
        <f t="shared" si="61"/>
        <v>339306.25</v>
      </c>
    </row>
    <row r="1003" spans="1:8" x14ac:dyDescent="0.25">
      <c r="A1003" s="7">
        <v>0</v>
      </c>
      <c r="B1003">
        <v>0</v>
      </c>
      <c r="C1003" s="7">
        <v>0</v>
      </c>
      <c r="D1003">
        <v>0</v>
      </c>
      <c r="E1003" s="2">
        <f t="shared" si="62"/>
        <v>20</v>
      </c>
      <c r="F1003" s="2">
        <f t="shared" si="63"/>
        <v>199.5</v>
      </c>
      <c r="G1003" s="2">
        <f t="shared" si="64"/>
        <v>-179.5</v>
      </c>
      <c r="H1003" s="2">
        <f t="shared" si="61"/>
        <v>32220.25</v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2019-04-13T03:19:38Z</dcterms:modified>
</cp:coreProperties>
</file>