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relation\config\"/>
    </mc:Choice>
  </mc:AlternateContent>
  <xr:revisionPtr revIDLastSave="0" documentId="13_ncr:1_{436F659D-FEDF-4CC5-92FD-E14C1ADBCA81}" xr6:coauthVersionLast="36" xr6:coauthVersionMax="36" xr10:uidLastSave="{00000000-0000-0000-0000-000000000000}"/>
  <bookViews>
    <workbookView showHorizontalScroll="0" showVerticalScroll="0" showSheetTabs="0" xWindow="0" yWindow="0" windowWidth="19200" windowHeight="693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" i="1" l="1"/>
  <c r="G12" i="1" l="1"/>
  <c r="H12" i="1"/>
  <c r="G16" i="1"/>
  <c r="H16" i="1" s="1"/>
  <c r="G18" i="1"/>
  <c r="H18" i="1"/>
  <c r="G25" i="1"/>
  <c r="H25" i="1"/>
  <c r="G29" i="1"/>
  <c r="H29" i="1"/>
  <c r="G32" i="1"/>
  <c r="H32" i="1"/>
  <c r="G34" i="1"/>
  <c r="H34" i="1" s="1"/>
  <c r="G36" i="1"/>
  <c r="H36" i="1"/>
  <c r="G41" i="1"/>
  <c r="H41" i="1"/>
  <c r="G44" i="1"/>
  <c r="H44" i="1" s="1"/>
  <c r="G46" i="1"/>
  <c r="H46" i="1" s="1"/>
  <c r="G48" i="1"/>
  <c r="H48" i="1" s="1"/>
  <c r="G50" i="1"/>
  <c r="H50" i="1" s="1"/>
  <c r="G55" i="1"/>
  <c r="H55" i="1" s="1"/>
  <c r="F56" i="1"/>
  <c r="E56" i="1"/>
  <c r="G56" i="1" s="1"/>
  <c r="H56" i="1" s="1"/>
  <c r="F55" i="1"/>
  <c r="E55" i="1"/>
  <c r="F54" i="1"/>
  <c r="E54" i="1"/>
  <c r="G54" i="1" s="1"/>
  <c r="H54" i="1" s="1"/>
  <c r="F53" i="1"/>
  <c r="E53" i="1"/>
  <c r="G53" i="1" s="1"/>
  <c r="H53" i="1" s="1"/>
  <c r="F52" i="1"/>
  <c r="E52" i="1"/>
  <c r="G52" i="1" s="1"/>
  <c r="H52" i="1" s="1"/>
  <c r="F51" i="1"/>
  <c r="E51" i="1"/>
  <c r="G51" i="1" s="1"/>
  <c r="H51" i="1" s="1"/>
  <c r="F50" i="1"/>
  <c r="E50" i="1"/>
  <c r="F49" i="1"/>
  <c r="E49" i="1"/>
  <c r="G49" i="1" s="1"/>
  <c r="H49" i="1" s="1"/>
  <c r="F48" i="1"/>
  <c r="E48" i="1"/>
  <c r="F47" i="1"/>
  <c r="E47" i="1"/>
  <c r="G47" i="1" s="1"/>
  <c r="H47" i="1" s="1"/>
  <c r="F46" i="1"/>
  <c r="E46" i="1"/>
  <c r="F45" i="1"/>
  <c r="E45" i="1"/>
  <c r="G45" i="1" s="1"/>
  <c r="H45" i="1" s="1"/>
  <c r="F44" i="1"/>
  <c r="E44" i="1"/>
  <c r="F43" i="1"/>
  <c r="E43" i="1"/>
  <c r="G43" i="1" s="1"/>
  <c r="H43" i="1" s="1"/>
  <c r="F42" i="1"/>
  <c r="E42" i="1"/>
  <c r="G42" i="1" s="1"/>
  <c r="H42" i="1" s="1"/>
  <c r="F41" i="1"/>
  <c r="E41" i="1"/>
  <c r="F40" i="1"/>
  <c r="E40" i="1"/>
  <c r="G40" i="1" s="1"/>
  <c r="H40" i="1" s="1"/>
  <c r="F39" i="1"/>
  <c r="E39" i="1"/>
  <c r="G39" i="1" s="1"/>
  <c r="H39" i="1" s="1"/>
  <c r="F38" i="1"/>
  <c r="E38" i="1"/>
  <c r="G38" i="1" s="1"/>
  <c r="H38" i="1" s="1"/>
  <c r="F37" i="1"/>
  <c r="E37" i="1"/>
  <c r="G37" i="1" s="1"/>
  <c r="H37" i="1" s="1"/>
  <c r="F36" i="1"/>
  <c r="E36" i="1"/>
  <c r="F35" i="1"/>
  <c r="E35" i="1"/>
  <c r="G35" i="1" s="1"/>
  <c r="H35" i="1" s="1"/>
  <c r="F34" i="1"/>
  <c r="E34" i="1"/>
  <c r="F33" i="1"/>
  <c r="E33" i="1"/>
  <c r="G33" i="1" s="1"/>
  <c r="H33" i="1" s="1"/>
  <c r="F32" i="1"/>
  <c r="E32" i="1"/>
  <c r="F31" i="1"/>
  <c r="E31" i="1"/>
  <c r="G31" i="1" s="1"/>
  <c r="H31" i="1" s="1"/>
  <c r="F30" i="1"/>
  <c r="E30" i="1"/>
  <c r="G30" i="1" s="1"/>
  <c r="H30" i="1" s="1"/>
  <c r="F29" i="1"/>
  <c r="E29" i="1"/>
  <c r="F28" i="1"/>
  <c r="E28" i="1"/>
  <c r="G28" i="1" s="1"/>
  <c r="H28" i="1" s="1"/>
  <c r="F27" i="1"/>
  <c r="E27" i="1"/>
  <c r="G27" i="1" s="1"/>
  <c r="H27" i="1" s="1"/>
  <c r="F26" i="1"/>
  <c r="E26" i="1"/>
  <c r="G26" i="1" s="1"/>
  <c r="H26" i="1" s="1"/>
  <c r="F25" i="1"/>
  <c r="E25" i="1"/>
  <c r="F24" i="1"/>
  <c r="E24" i="1"/>
  <c r="G24" i="1" s="1"/>
  <c r="H24" i="1" s="1"/>
  <c r="F23" i="1"/>
  <c r="E23" i="1"/>
  <c r="G23" i="1" s="1"/>
  <c r="H23" i="1" s="1"/>
  <c r="F22" i="1"/>
  <c r="E22" i="1"/>
  <c r="G22" i="1" s="1"/>
  <c r="H22" i="1" s="1"/>
  <c r="F21" i="1"/>
  <c r="E21" i="1"/>
  <c r="G21" i="1" s="1"/>
  <c r="H21" i="1" s="1"/>
  <c r="F20" i="1"/>
  <c r="E20" i="1"/>
  <c r="G20" i="1" s="1"/>
  <c r="H20" i="1" s="1"/>
  <c r="F19" i="1"/>
  <c r="E19" i="1"/>
  <c r="G19" i="1" s="1"/>
  <c r="H19" i="1" s="1"/>
  <c r="F18" i="1"/>
  <c r="E18" i="1"/>
  <c r="F17" i="1"/>
  <c r="E17" i="1"/>
  <c r="G17" i="1" s="1"/>
  <c r="H17" i="1" s="1"/>
  <c r="F16" i="1"/>
  <c r="E16" i="1"/>
  <c r="F15" i="1"/>
  <c r="E15" i="1"/>
  <c r="G15" i="1" s="1"/>
  <c r="H15" i="1" s="1"/>
  <c r="F14" i="1"/>
  <c r="E14" i="1"/>
  <c r="G14" i="1" s="1"/>
  <c r="H14" i="1" s="1"/>
  <c r="F13" i="1"/>
  <c r="E13" i="1"/>
  <c r="G13" i="1" s="1"/>
  <c r="H13" i="1" s="1"/>
  <c r="F12" i="1"/>
  <c r="E12" i="1"/>
  <c r="F11" i="1"/>
  <c r="E11" i="1"/>
  <c r="G11" i="1" s="1"/>
  <c r="H11" i="1" s="1"/>
  <c r="F10" i="1"/>
  <c r="E10" i="1"/>
  <c r="G10" i="1" s="1"/>
  <c r="H10" i="1" s="1"/>
  <c r="F9" i="1"/>
  <c r="E9" i="1"/>
  <c r="G9" i="1" s="1"/>
  <c r="H9" i="1" s="1"/>
  <c r="F8" i="1"/>
  <c r="E8" i="1"/>
  <c r="G8" i="1" s="1"/>
  <c r="H8" i="1" s="1"/>
  <c r="F7" i="1"/>
  <c r="E7" i="1"/>
  <c r="G7" i="1" s="1"/>
  <c r="H7" i="1" s="1"/>
  <c r="F6" i="1"/>
  <c r="E6" i="1"/>
  <c r="G6" i="1" s="1"/>
  <c r="H6" i="1" s="1"/>
  <c r="F5" i="1"/>
  <c r="E5" i="1"/>
  <c r="G5" i="1" s="1"/>
  <c r="H5" i="1" s="1"/>
  <c r="F4" i="1"/>
  <c r="F3" i="1"/>
  <c r="E3" i="1"/>
  <c r="F2" i="1"/>
  <c r="E2" i="1"/>
  <c r="O7" i="1"/>
  <c r="O22" i="1" s="1"/>
  <c r="K26" i="1"/>
  <c r="K18" i="1"/>
  <c r="K14" i="1"/>
  <c r="K22" i="1"/>
  <c r="G4" i="1" l="1"/>
  <c r="H4" i="1" s="1"/>
  <c r="G3" i="1"/>
  <c r="H3" i="1" s="1"/>
  <c r="G2" i="1"/>
  <c r="H2" i="1" s="1"/>
  <c r="O14" i="1"/>
  <c r="O18" i="1" s="1"/>
  <c r="O28" i="1" s="1"/>
  <c r="O40" i="1" l="1"/>
  <c r="O26" i="1"/>
  <c r="O27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<sst xmlns="http://schemas.openxmlformats.org/spreadsheetml/2006/main" count="47" uniqueCount="44">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</sst>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C4" sqref="C4"/>
    </sheetView>
  </sheetViews>
  <sheetFormatPr defaultRowHeight="14.5" x14ac:dyDescent="0.35"/>
  <cols>
    <col min="11" max="11" width="10.81640625" customWidth="1"/>
    <col min="13" max="15" width="12" bestFit="1" customWidth="1"/>
  </cols>
  <sheetData>
    <row r="1" spans="1:15" ht="17.5" x14ac:dyDescent="0.4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5">
      <c r="A2" s="4">
        <v>1</v>
      </c>
      <c r="B2" s="4">
        <v>20</v>
      </c>
      <c r="C2" s="2">
        <v>83.2</v>
      </c>
      <c r="D2">
        <v>4.4849294567806234E-5</v>
      </c>
      <c r="E2" s="2">
        <f>IF(C2="","",_xlfn.RANK.AVG(C2,C$2:C$56,1))</f>
        <v>1</v>
      </c>
      <c r="F2" s="2">
        <f t="shared" ref="F2:F56" si="0">IF(D2="","",_xlfn.RANK.AVG(D2,D$2:D$56,1))</f>
        <v>3</v>
      </c>
      <c r="G2" s="2">
        <f>IF(C2="","",E2-F2)</f>
        <v>-2</v>
      </c>
      <c r="H2" s="2">
        <f>IF(C2="","",G2^2)</f>
        <v>4</v>
      </c>
      <c r="M2" s="7" t="s">
        <v>36</v>
      </c>
    </row>
    <row r="3" spans="1:15" x14ac:dyDescent="0.35">
      <c r="A3" s="4">
        <v>2</v>
      </c>
      <c r="B3" s="4">
        <v>50</v>
      </c>
      <c r="C3" s="2">
        <v>87</v>
      </c>
      <c r="D3">
        <v>2.8325870253351306E-5</v>
      </c>
      <c r="E3" s="2">
        <f>IF(C3="","",_xlfn.RANK.AVG(C3,C$2:C$56,1))</f>
        <v>2</v>
      </c>
      <c r="F3" s="2">
        <f t="shared" si="0"/>
        <v>2</v>
      </c>
      <c r="G3" s="2">
        <f t="shared" ref="G3:G56" si="1">IF(C3="","",E3-F3)</f>
        <v>0</v>
      </c>
      <c r="H3" s="2">
        <f t="shared" ref="H3:H56" si="2">IF(C3="","",G3^2)</f>
        <v>0</v>
      </c>
      <c r="M3" s="1" t="s">
        <v>37</v>
      </c>
    </row>
    <row r="4" spans="1:15" x14ac:dyDescent="0.35">
      <c r="A4" s="4">
        <v>5</v>
      </c>
      <c r="B4" s="4">
        <v>80</v>
      </c>
      <c r="C4" s="2">
        <v>88.35</v>
      </c>
      <c r="D4">
        <v>1.6523424314454928E-5</v>
      </c>
      <c r="E4" s="2">
        <f>IF(C4="","",_xlfn.RANK.AVG(C4,C$2:C$56,1))</f>
        <v>3</v>
      </c>
      <c r="F4" s="2">
        <f t="shared" si="0"/>
        <v>1</v>
      </c>
      <c r="G4" s="2">
        <f>IF(C4="","",E4-F4)</f>
        <v>2</v>
      </c>
      <c r="H4" s="2">
        <f>IF(C4="","",G4^2)</f>
        <v>4</v>
      </c>
    </row>
    <row r="5" spans="1:15" x14ac:dyDescent="0.35">
      <c r="A5" s="4">
        <v>1</v>
      </c>
      <c r="B5" s="4">
        <v>15</v>
      </c>
      <c r="C5" s="2"/>
      <c r="D5" s="2"/>
      <c r="E5" s="2" t="str">
        <f>IF(C5="","",_xlfn.RANK.AVG(C5,C$2:C$56,1))</f>
        <v/>
      </c>
      <c r="F5" s="2" t="str">
        <f t="shared" si="0"/>
        <v/>
      </c>
      <c r="G5" s="2" t="str">
        <f t="shared" si="1"/>
        <v/>
      </c>
      <c r="H5" s="2" t="str">
        <f t="shared" si="2"/>
        <v/>
      </c>
      <c r="M5" s="3" t="s">
        <v>9</v>
      </c>
      <c r="N5" t="s">
        <v>35</v>
      </c>
    </row>
    <row r="6" spans="1:15" x14ac:dyDescent="0.35">
      <c r="A6" s="4">
        <v>1</v>
      </c>
      <c r="B6" s="4">
        <v>40</v>
      </c>
      <c r="C6" s="2"/>
      <c r="D6" s="2"/>
      <c r="E6" s="2" t="str">
        <f>IF(C6="","",_xlfn.RANK.AVG(C6,C$2:C$56,1))</f>
        <v/>
      </c>
      <c r="F6" s="2" t="str">
        <f t="shared" si="0"/>
        <v/>
      </c>
      <c r="G6" s="2" t="str">
        <f t="shared" si="1"/>
        <v/>
      </c>
      <c r="H6" s="2" t="str">
        <f t="shared" si="2"/>
        <v/>
      </c>
      <c r="N6" s="1" t="s">
        <v>10</v>
      </c>
    </row>
    <row r="7" spans="1:15" x14ac:dyDescent="0.35">
      <c r="A7" s="4">
        <v>5</v>
      </c>
      <c r="B7" s="4">
        <v>85</v>
      </c>
      <c r="C7" s="2"/>
      <c r="D7" s="2"/>
      <c r="E7" s="2" t="str">
        <f>IF(C7="","",_xlfn.RANK.AVG(C7,C$2:C$56,1))</f>
        <v/>
      </c>
      <c r="F7" s="2" t="str">
        <f t="shared" si="0"/>
        <v/>
      </c>
      <c r="G7" s="2" t="str">
        <f t="shared" si="1"/>
        <v/>
      </c>
      <c r="H7" s="2" t="str">
        <f t="shared" si="2"/>
        <v/>
      </c>
      <c r="N7" t="s">
        <v>4</v>
      </c>
      <c r="O7" s="2">
        <f>COUNT(C:C)</f>
        <v>3</v>
      </c>
    </row>
    <row r="8" spans="1:15" x14ac:dyDescent="0.35">
      <c r="A8" s="4">
        <v>3</v>
      </c>
      <c r="B8" s="4">
        <v>30</v>
      </c>
      <c r="C8" s="2"/>
      <c r="D8" s="2"/>
      <c r="E8" s="2" t="str">
        <f>IF(C8="","",_xlfn.RANK.AVG(C8,C$2:C$56,1))</f>
        <v/>
      </c>
      <c r="F8" s="2" t="str">
        <f t="shared" si="0"/>
        <v/>
      </c>
      <c r="G8" s="2" t="str">
        <f t="shared" si="1"/>
        <v/>
      </c>
      <c r="H8" s="2" t="str">
        <f t="shared" si="2"/>
        <v/>
      </c>
    </row>
    <row r="9" spans="1:15" x14ac:dyDescent="0.35">
      <c r="A9" s="4">
        <v>1</v>
      </c>
      <c r="B9" s="4">
        <v>45</v>
      </c>
      <c r="C9" s="2"/>
      <c r="D9" s="2"/>
      <c r="E9" s="2" t="str">
        <f>IF(C9="","",_xlfn.RANK.AVG(C9,C$2:C$56,1))</f>
        <v/>
      </c>
      <c r="F9" s="2" t="str">
        <f t="shared" si="0"/>
        <v/>
      </c>
      <c r="G9" s="2" t="str">
        <f t="shared" si="1"/>
        <v/>
      </c>
      <c r="H9" s="2" t="str">
        <f t="shared" si="2"/>
        <v/>
      </c>
      <c r="M9" s="3" t="s">
        <v>11</v>
      </c>
      <c r="N9" t="s">
        <v>12</v>
      </c>
    </row>
    <row r="10" spans="1:15" x14ac:dyDescent="0.35">
      <c r="A10" s="4">
        <v>5</v>
      </c>
      <c r="B10" s="4">
        <v>70</v>
      </c>
      <c r="C10" s="2"/>
      <c r="D10" s="2"/>
      <c r="E10" s="2" t="str">
        <f>IF(C10="","",_xlfn.RANK.AVG(C10,C$2:C$56,1))</f>
        <v/>
      </c>
      <c r="F10" s="2" t="str">
        <f t="shared" si="0"/>
        <v/>
      </c>
      <c r="G10" s="2" t="str">
        <f t="shared" si="1"/>
        <v/>
      </c>
      <c r="H10" s="2" t="str">
        <f t="shared" si="2"/>
        <v/>
      </c>
      <c r="N10" s="1" t="s">
        <v>13</v>
      </c>
    </row>
    <row r="11" spans="1:15" x14ac:dyDescent="0.35">
      <c r="A11" s="4">
        <v>1</v>
      </c>
      <c r="B11" s="4">
        <v>60</v>
      </c>
      <c r="C11" s="2"/>
      <c r="D11" s="2"/>
      <c r="E11" s="2" t="str">
        <f>IF(C11="","",_xlfn.RANK.AVG(C11,C$2:C$56,1))</f>
        <v/>
      </c>
      <c r="F11" s="2" t="str">
        <f t="shared" si="0"/>
        <v/>
      </c>
      <c r="G11" s="2" t="str">
        <f t="shared" si="1"/>
        <v/>
      </c>
      <c r="H11" s="2" t="str">
        <f t="shared" si="2"/>
        <v/>
      </c>
    </row>
    <row r="12" spans="1:15" x14ac:dyDescent="0.35">
      <c r="A12" s="4">
        <v>1</v>
      </c>
      <c r="B12" s="4"/>
      <c r="C12" s="2"/>
      <c r="D12" s="2"/>
      <c r="E12" s="2" t="str">
        <f>IF(C12="","",_xlfn.RANK.AVG(C12,C$2:C$56,1))</f>
        <v/>
      </c>
      <c r="F12" s="2" t="str">
        <f t="shared" si="0"/>
        <v/>
      </c>
      <c r="G12" s="2" t="str">
        <f t="shared" si="1"/>
        <v/>
      </c>
      <c r="H12" s="2" t="str">
        <f t="shared" si="2"/>
        <v/>
      </c>
      <c r="M12" s="3" t="s">
        <v>14</v>
      </c>
      <c r="N12" t="s">
        <v>15</v>
      </c>
    </row>
    <row r="13" spans="1:15" x14ac:dyDescent="0.35">
      <c r="A13" s="4">
        <v>5</v>
      </c>
      <c r="B13" s="4">
        <v>90</v>
      </c>
      <c r="C13" s="2"/>
      <c r="D13" s="2"/>
      <c r="E13" s="2" t="str">
        <f>IF(C13="","",_xlfn.RANK.AVG(C13,C$2:C$56,1))</f>
        <v/>
      </c>
      <c r="F13" s="2" t="str">
        <f t="shared" si="0"/>
        <v/>
      </c>
      <c r="G13" s="2" t="str">
        <f t="shared" si="1"/>
        <v/>
      </c>
      <c r="H13" s="2" t="str">
        <f t="shared" si="2"/>
        <v/>
      </c>
    </row>
    <row r="14" spans="1:15" ht="16.5" x14ac:dyDescent="0.45">
      <c r="A14" s="4">
        <v>1</v>
      </c>
      <c r="B14" s="4">
        <v>25</v>
      </c>
      <c r="C14" s="2"/>
      <c r="D14" s="2"/>
      <c r="E14" s="2" t="str">
        <f>IF(C14="","",_xlfn.RANK.AVG(C14,C$2:C$56,1))</f>
        <v/>
      </c>
      <c r="F14" s="2" t="str">
        <f t="shared" si="0"/>
        <v/>
      </c>
      <c r="G14" s="2" t="str">
        <f t="shared" si="1"/>
        <v/>
      </c>
      <c r="H14" s="2" t="str">
        <f t="shared" si="2"/>
        <v/>
      </c>
      <c r="J14" s="5" t="s">
        <v>38</v>
      </c>
      <c r="K14" s="6" t="e">
        <f>SPEARMANRHO($A$2:$A$4,$B$2:$B$4,1)</f>
        <v>#VALUE!</v>
      </c>
      <c r="N14" t="s">
        <v>39</v>
      </c>
      <c r="O14" s="2">
        <f>CORREL(E:E,F:F)</f>
        <v>-1</v>
      </c>
    </row>
    <row r="15" spans="1:15" x14ac:dyDescent="0.35">
      <c r="A15" s="4">
        <v>1</v>
      </c>
      <c r="B15" s="4">
        <v>40</v>
      </c>
      <c r="C15" s="2"/>
      <c r="D15" s="2"/>
      <c r="E15" s="2" t="str">
        <f>IF(C15="","",_xlfn.RANK.AVG(C15,C$2:C$56,1))</f>
        <v/>
      </c>
      <c r="F15" s="2" t="str">
        <f t="shared" si="0"/>
        <v/>
      </c>
      <c r="G15" s="2" t="str">
        <f t="shared" si="1"/>
        <v/>
      </c>
      <c r="H15" s="2" t="str">
        <f t="shared" si="2"/>
        <v/>
      </c>
    </row>
    <row r="16" spans="1:15" x14ac:dyDescent="0.35">
      <c r="A16" s="4">
        <v>3</v>
      </c>
      <c r="B16" s="4">
        <v>70</v>
      </c>
      <c r="C16" s="2"/>
      <c r="D16" s="2"/>
      <c r="E16" s="2" t="str">
        <f>IF(C16="","",_xlfn.RANK.AVG(C16,C$2:C$56,1))</f>
        <v/>
      </c>
      <c r="F16" s="2" t="str">
        <f t="shared" si="0"/>
        <v/>
      </c>
      <c r="G16" s="2" t="str">
        <f t="shared" si="1"/>
        <v/>
      </c>
      <c r="H16" s="2" t="str">
        <f t="shared" si="2"/>
        <v/>
      </c>
      <c r="M16" s="3" t="s">
        <v>16</v>
      </c>
      <c r="N16" t="s">
        <v>17</v>
      </c>
    </row>
    <row r="17" spans="1:16" x14ac:dyDescent="0.35">
      <c r="A17" s="4">
        <v>3</v>
      </c>
      <c r="B17" s="4">
        <v>65</v>
      </c>
      <c r="C17" s="2"/>
      <c r="D17" s="2"/>
      <c r="E17" s="2" t="str">
        <f>IF(C17="","",_xlfn.RANK.AVG(C17,C$2:C$56,1))</f>
        <v/>
      </c>
      <c r="F17" s="2" t="str">
        <f t="shared" si="0"/>
        <v/>
      </c>
      <c r="G17" s="2" t="str">
        <f t="shared" si="1"/>
        <v/>
      </c>
      <c r="H17" s="2" t="str">
        <f t="shared" si="2"/>
        <v/>
      </c>
    </row>
    <row r="18" spans="1:16" x14ac:dyDescent="0.35">
      <c r="A18" s="4"/>
      <c r="B18" s="4"/>
      <c r="C18" s="2"/>
      <c r="D18" s="2"/>
      <c r="E18" s="2" t="str">
        <f>IF(C18="","",_xlfn.RANK.AVG(C18,C$2:C$56,1))</f>
        <v/>
      </c>
      <c r="F18" s="2" t="str">
        <f t="shared" si="0"/>
        <v/>
      </c>
      <c r="G18" s="2" t="str">
        <f t="shared" si="1"/>
        <v/>
      </c>
      <c r="H18" s="2" t="str">
        <f t="shared" si="2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 t="e">
        <f>O14*SQRT((O7-2)/(1-O14^2))</f>
        <v>#DIV/0!</v>
      </c>
    </row>
    <row r="19" spans="1:16" x14ac:dyDescent="0.35">
      <c r="A19" s="4">
        <v>3</v>
      </c>
      <c r="B19" s="4">
        <v>70</v>
      </c>
      <c r="C19" s="2"/>
      <c r="D19" s="2"/>
      <c r="E19" s="2" t="str">
        <f>IF(C19="","",_xlfn.RANK.AVG(C19,C$2:C$56,1))</f>
        <v/>
      </c>
      <c r="F19" s="2" t="str">
        <f t="shared" si="0"/>
        <v/>
      </c>
      <c r="G19" s="2" t="str">
        <f t="shared" si="1"/>
        <v/>
      </c>
      <c r="H19" s="2" t="str">
        <f t="shared" si="2"/>
        <v/>
      </c>
    </row>
    <row r="20" spans="1:16" x14ac:dyDescent="0.35">
      <c r="A20" s="4">
        <v>4</v>
      </c>
      <c r="B20" s="4">
        <v>98</v>
      </c>
      <c r="C20" s="2"/>
      <c r="D20" s="2"/>
      <c r="E20" s="2" t="str">
        <f>IF(C20="","",_xlfn.RANK.AVG(C20,C$2:C$56,1))</f>
        <v/>
      </c>
      <c r="F20" s="2" t="str">
        <f t="shared" si="0"/>
        <v/>
      </c>
      <c r="G20" s="2" t="str">
        <f t="shared" si="1"/>
        <v/>
      </c>
      <c r="H20" s="2" t="str">
        <f t="shared" si="2"/>
        <v/>
      </c>
      <c r="M20" s="3" t="s">
        <v>18</v>
      </c>
      <c r="N20" t="s">
        <v>19</v>
      </c>
    </row>
    <row r="21" spans="1:16" x14ac:dyDescent="0.35">
      <c r="A21" s="4">
        <v>2</v>
      </c>
      <c r="B21" s="4">
        <v>40</v>
      </c>
      <c r="C21" s="2"/>
      <c r="D21" s="2"/>
      <c r="E21" s="2" t="str">
        <f>IF(C21="","",_xlfn.RANK.AVG(C21,C$2:C$56,1))</f>
        <v/>
      </c>
      <c r="F21" s="2" t="str">
        <f t="shared" si="0"/>
        <v/>
      </c>
      <c r="G21" s="2" t="str">
        <f t="shared" si="1"/>
        <v/>
      </c>
      <c r="H21" s="2" t="str">
        <f t="shared" si="2"/>
        <v/>
      </c>
    </row>
    <row r="22" spans="1:16" x14ac:dyDescent="0.35">
      <c r="A22" s="4">
        <v>4</v>
      </c>
      <c r="B22" s="4">
        <v>65</v>
      </c>
      <c r="C22" s="2"/>
      <c r="D22" s="2"/>
      <c r="E22" s="2" t="str">
        <f>IF(C22="","",_xlfn.RANK.AVG(C22,C$2:C$56,1))</f>
        <v/>
      </c>
      <c r="F22" s="2" t="str">
        <f t="shared" si="0"/>
        <v/>
      </c>
      <c r="G22" s="2" t="str">
        <f t="shared" si="1"/>
        <v/>
      </c>
      <c r="H22" s="2" t="str">
        <f t="shared" si="2"/>
        <v/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1</v>
      </c>
    </row>
    <row r="23" spans="1:16" x14ac:dyDescent="0.35">
      <c r="A23" s="4">
        <v>2</v>
      </c>
      <c r="B23" s="4">
        <v>60</v>
      </c>
      <c r="C23" s="2"/>
      <c r="D23" s="2"/>
      <c r="E23" s="2" t="str">
        <f>IF(C23="","",_xlfn.RANK.AVG(C23,C$2:C$56,1))</f>
        <v/>
      </c>
      <c r="F23" s="2" t="str">
        <f t="shared" si="0"/>
        <v/>
      </c>
      <c r="G23" s="2" t="str">
        <f t="shared" si="1"/>
        <v/>
      </c>
      <c r="H23" s="2" t="str">
        <f t="shared" si="2"/>
        <v/>
      </c>
    </row>
    <row r="24" spans="1:16" x14ac:dyDescent="0.35">
      <c r="A24" s="4">
        <v>1</v>
      </c>
      <c r="B24" s="4">
        <v>35</v>
      </c>
      <c r="C24" s="2"/>
      <c r="D24" s="2"/>
      <c r="E24" s="2" t="str">
        <f>IF(C24="","",_xlfn.RANK.AVG(C24,C$2:C$56,1))</f>
        <v/>
      </c>
      <c r="F24" s="2" t="str">
        <f t="shared" si="0"/>
        <v/>
      </c>
      <c r="G24" s="2" t="str">
        <f t="shared" si="1"/>
        <v/>
      </c>
      <c r="H24" s="2" t="str">
        <f t="shared" si="2"/>
        <v/>
      </c>
      <c r="M24" s="3" t="s">
        <v>20</v>
      </c>
      <c r="N24" t="s">
        <v>21</v>
      </c>
    </row>
    <row r="25" spans="1:16" x14ac:dyDescent="0.35">
      <c r="A25" s="4">
        <v>3</v>
      </c>
      <c r="B25" s="4"/>
      <c r="C25" s="2"/>
      <c r="D25" s="2"/>
      <c r="E25" s="2" t="str">
        <f>IF(C25="","",_xlfn.RANK.AVG(C25,C$2:C$56,1))</f>
        <v/>
      </c>
      <c r="F25" s="2" t="str">
        <f t="shared" si="0"/>
        <v/>
      </c>
      <c r="G25" s="2" t="str">
        <f t="shared" si="1"/>
        <v/>
      </c>
      <c r="H25" s="2" t="str">
        <f t="shared" si="2"/>
        <v/>
      </c>
    </row>
    <row r="26" spans="1:16" x14ac:dyDescent="0.35">
      <c r="A26" s="4">
        <v>2</v>
      </c>
      <c r="B26" s="4">
        <v>50</v>
      </c>
      <c r="C26" s="2"/>
      <c r="D26" s="2"/>
      <c r="E26" s="2" t="str">
        <f>IF(C26="","",_xlfn.RANK.AVG(C26,C$2:C$56,1))</f>
        <v/>
      </c>
      <c r="F26" s="2" t="str">
        <f t="shared" si="0"/>
        <v/>
      </c>
      <c r="G26" s="2" t="str">
        <f t="shared" si="1"/>
        <v/>
      </c>
      <c r="H26" s="2" t="str">
        <f t="shared" si="2"/>
        <v/>
      </c>
      <c r="J26" s="5" t="s">
        <v>38</v>
      </c>
      <c r="K26" s="6">
        <f>SPEARMANRHO($A$2:$A$56,$B$2:$B$56)</f>
        <v>3.2363637932841663E-11</v>
      </c>
      <c r="N26" t="s">
        <v>8</v>
      </c>
      <c r="O26" s="2" t="e">
        <f>_xlfn.T.DIST.2T(ABS(O18),O22)</f>
        <v>#DIV/0!</v>
      </c>
      <c r="P26" t="s">
        <v>22</v>
      </c>
    </row>
    <row r="27" spans="1:16" x14ac:dyDescent="0.35">
      <c r="A27" s="4">
        <v>2</v>
      </c>
      <c r="B27" s="4">
        <v>40</v>
      </c>
      <c r="C27" s="2"/>
      <c r="D27" s="2"/>
      <c r="E27" s="2" t="str">
        <f>IF(C27="","",_xlfn.RANK.AVG(C27,C$2:C$56,1))</f>
        <v/>
      </c>
      <c r="F27" s="2" t="str">
        <f t="shared" si="0"/>
        <v/>
      </c>
      <c r="G27" s="2" t="str">
        <f t="shared" si="1"/>
        <v/>
      </c>
      <c r="H27" s="2" t="str">
        <f t="shared" si="2"/>
        <v/>
      </c>
      <c r="O27" s="2" t="e">
        <f>TDIST(ABS(O18),O22,2)</f>
        <v>#DIV/0!</v>
      </c>
      <c r="P27" t="s">
        <v>23</v>
      </c>
    </row>
    <row r="28" spans="1:16" x14ac:dyDescent="0.35">
      <c r="A28" s="4">
        <v>4</v>
      </c>
      <c r="B28" s="4">
        <v>75</v>
      </c>
      <c r="C28" s="2"/>
      <c r="D28" s="2"/>
      <c r="E28" s="2" t="str">
        <f>IF(C28="","",_xlfn.RANK.AVG(C28,C$2:C$56,1))</f>
        <v/>
      </c>
      <c r="F28" s="2" t="str">
        <f t="shared" si="0"/>
        <v/>
      </c>
      <c r="G28" s="2" t="str">
        <f t="shared" si="1"/>
        <v/>
      </c>
      <c r="H28" s="2" t="str">
        <f t="shared" si="2"/>
        <v/>
      </c>
      <c r="O28" s="2" t="e">
        <f>2*(1-_xlfn.T.DIST(ABS(O18),O22,TRUE))</f>
        <v>#DIV/0!</v>
      </c>
      <c r="P28" t="s">
        <v>24</v>
      </c>
    </row>
    <row r="29" spans="1:16" x14ac:dyDescent="0.35">
      <c r="A29" s="4">
        <v>1</v>
      </c>
      <c r="B29" s="4"/>
      <c r="C29" s="2"/>
      <c r="D29" s="2"/>
      <c r="E29" s="2" t="str">
        <f>IF(C29="","",_xlfn.RANK.AVG(C29,C$2:C$56,1))</f>
        <v/>
      </c>
      <c r="F29" s="2" t="str">
        <f t="shared" si="0"/>
        <v/>
      </c>
      <c r="G29" s="2" t="str">
        <f t="shared" si="1"/>
        <v/>
      </c>
      <c r="H29" s="2" t="str">
        <f t="shared" si="2"/>
        <v/>
      </c>
    </row>
    <row r="30" spans="1:16" x14ac:dyDescent="0.35">
      <c r="A30" s="4">
        <v>1</v>
      </c>
      <c r="B30" s="4">
        <v>65</v>
      </c>
      <c r="C30" s="2"/>
      <c r="D30" s="2"/>
      <c r="E30" s="2" t="str">
        <f>IF(C30="","",_xlfn.RANK.AVG(C30,C$2:C$56,1))</f>
        <v/>
      </c>
      <c r="F30" s="2" t="str">
        <f t="shared" si="0"/>
        <v/>
      </c>
      <c r="G30" s="2" t="str">
        <f t="shared" si="1"/>
        <v/>
      </c>
      <c r="H30" s="2" t="str">
        <f t="shared" si="2"/>
        <v/>
      </c>
      <c r="M30" s="3" t="s">
        <v>25</v>
      </c>
      <c r="N30" s="3" t="s">
        <v>26</v>
      </c>
    </row>
    <row r="31" spans="1:16" x14ac:dyDescent="0.35">
      <c r="A31" s="4">
        <v>3</v>
      </c>
      <c r="B31" s="4">
        <v>70</v>
      </c>
      <c r="C31" s="2"/>
      <c r="D31" s="2"/>
      <c r="E31" s="2" t="str">
        <f>IF(C31="","",_xlfn.RANK.AVG(C31,C$2:C$56,1))</f>
        <v/>
      </c>
      <c r="F31" s="2" t="str">
        <f t="shared" si="0"/>
        <v/>
      </c>
      <c r="G31" s="2" t="str">
        <f t="shared" si="1"/>
        <v/>
      </c>
      <c r="H31" s="2" t="str">
        <f t="shared" si="2"/>
        <v/>
      </c>
    </row>
    <row r="32" spans="1:16" x14ac:dyDescent="0.35">
      <c r="A32" s="4">
        <v>1</v>
      </c>
      <c r="B32" s="4"/>
      <c r="C32" s="2"/>
      <c r="D32" s="2"/>
      <c r="E32" s="2" t="str">
        <f>IF(C32="","",_xlfn.RANK.AVG(C32,C$2:C$56,1))</f>
        <v/>
      </c>
      <c r="F32" s="2" t="str">
        <f t="shared" si="0"/>
        <v/>
      </c>
      <c r="G32" s="2" t="str">
        <f t="shared" si="1"/>
        <v/>
      </c>
      <c r="H32" s="2" t="str">
        <f t="shared" si="2"/>
        <v/>
      </c>
      <c r="M32" t="s">
        <v>27</v>
      </c>
      <c r="N32" t="s">
        <v>28</v>
      </c>
    </row>
    <row r="33" spans="1:15" x14ac:dyDescent="0.35">
      <c r="A33" s="4">
        <v>2</v>
      </c>
      <c r="B33" s="4">
        <v>20</v>
      </c>
      <c r="C33" s="2"/>
      <c r="D33" s="2"/>
      <c r="E33" s="2" t="str">
        <f>IF(C33="","",_xlfn.RANK.AVG(C33,C$2:C$56,1))</f>
        <v/>
      </c>
      <c r="F33" s="2" t="str">
        <f t="shared" si="0"/>
        <v/>
      </c>
      <c r="G33" s="2" t="str">
        <f t="shared" si="1"/>
        <v/>
      </c>
      <c r="H33" s="2" t="str">
        <f t="shared" si="2"/>
        <v/>
      </c>
      <c r="N33" s="1" t="s">
        <v>29</v>
      </c>
    </row>
    <row r="34" spans="1:15" x14ac:dyDescent="0.35">
      <c r="A34" s="4">
        <v>4</v>
      </c>
      <c r="B34" s="4">
        <v>80</v>
      </c>
      <c r="C34" s="2"/>
      <c r="D34" s="2"/>
      <c r="E34" s="2" t="str">
        <f>IF(C34="","",_xlfn.RANK.AVG(C34,C$2:C$56,1))</f>
        <v/>
      </c>
      <c r="F34" s="2" t="str">
        <f t="shared" si="0"/>
        <v/>
      </c>
      <c r="G34" s="2" t="str">
        <f t="shared" si="1"/>
        <v/>
      </c>
      <c r="H34" s="2" t="str">
        <f t="shared" si="2"/>
        <v/>
      </c>
    </row>
    <row r="35" spans="1:15" x14ac:dyDescent="0.35">
      <c r="A35" s="4">
        <v>1</v>
      </c>
      <c r="B35" s="4">
        <v>35</v>
      </c>
      <c r="C35" s="2"/>
      <c r="D35" s="2"/>
      <c r="E35" s="2" t="str">
        <f>IF(C35="","",_xlfn.RANK.AVG(C35,C$2:C$56,1))</f>
        <v/>
      </c>
      <c r="F35" s="2" t="str">
        <f t="shared" si="0"/>
        <v/>
      </c>
      <c r="G35" s="2" t="str">
        <f t="shared" si="1"/>
        <v/>
      </c>
      <c r="H35" s="2" t="str">
        <f t="shared" si="2"/>
        <v/>
      </c>
      <c r="M35" t="s">
        <v>30</v>
      </c>
      <c r="N35" t="s">
        <v>31</v>
      </c>
    </row>
    <row r="36" spans="1:15" x14ac:dyDescent="0.35">
      <c r="A36" s="4">
        <v>5</v>
      </c>
      <c r="B36" s="4"/>
      <c r="C36" s="2"/>
      <c r="D36" s="2"/>
      <c r="E36" s="2" t="str">
        <f>IF(C36="","",_xlfn.RANK.AVG(C36,C$2:C$56,1))</f>
        <v/>
      </c>
      <c r="F36" s="2" t="str">
        <f t="shared" si="0"/>
        <v/>
      </c>
      <c r="G36" s="2" t="str">
        <f t="shared" si="1"/>
        <v/>
      </c>
      <c r="H36" s="2" t="str">
        <f t="shared" si="2"/>
        <v/>
      </c>
      <c r="N36" s="1" t="s">
        <v>32</v>
      </c>
    </row>
    <row r="37" spans="1:15" x14ac:dyDescent="0.35">
      <c r="A37" s="4">
        <v>4</v>
      </c>
      <c r="B37" s="4">
        <v>68</v>
      </c>
      <c r="C37" s="2"/>
      <c r="D37" s="2"/>
      <c r="E37" s="2" t="str">
        <f>IF(C37="","",_xlfn.RANK.AVG(C37,C$2:C$56,1))</f>
        <v/>
      </c>
      <c r="F37" s="2" t="str">
        <f t="shared" si="0"/>
        <v/>
      </c>
      <c r="G37" s="2" t="str">
        <f t="shared" si="1"/>
        <v/>
      </c>
      <c r="H37" s="2" t="str">
        <f t="shared" si="2"/>
        <v/>
      </c>
    </row>
    <row r="38" spans="1:15" x14ac:dyDescent="0.35">
      <c r="A38" s="4">
        <v>2</v>
      </c>
      <c r="B38" s="4">
        <v>70</v>
      </c>
      <c r="C38" s="2"/>
      <c r="D38" s="2"/>
      <c r="E38" s="2" t="str">
        <f>IF(C38="","",_xlfn.RANK.AVG(C38,C$2:C$56,1))</f>
        <v/>
      </c>
      <c r="F38" s="2" t="str">
        <f t="shared" si="0"/>
        <v/>
      </c>
      <c r="G38" s="2" t="str">
        <f t="shared" si="1"/>
        <v/>
      </c>
      <c r="H38" s="2" t="str">
        <f t="shared" si="2"/>
        <v/>
      </c>
      <c r="M38" t="s">
        <v>33</v>
      </c>
      <c r="N38" t="s">
        <v>34</v>
      </c>
    </row>
    <row r="39" spans="1:15" x14ac:dyDescent="0.35">
      <c r="A39" s="4">
        <v>3</v>
      </c>
      <c r="B39" s="4">
        <v>60</v>
      </c>
      <c r="C39" s="2"/>
      <c r="D39" s="2"/>
      <c r="E39" s="2" t="str">
        <f>IF(C39="","",_xlfn.RANK.AVG(C39,C$2:C$56,1))</f>
        <v/>
      </c>
      <c r="F39" s="2" t="str">
        <f t="shared" si="0"/>
        <v/>
      </c>
      <c r="G39" s="2" t="str">
        <f t="shared" si="1"/>
        <v/>
      </c>
      <c r="H39" s="2" t="str">
        <f t="shared" si="2"/>
        <v/>
      </c>
    </row>
    <row r="40" spans="1:15" x14ac:dyDescent="0.35">
      <c r="A40" s="4">
        <v>4</v>
      </c>
      <c r="B40" s="4">
        <v>70</v>
      </c>
      <c r="C40" s="2"/>
      <c r="D40" s="2"/>
      <c r="E40" s="2" t="str">
        <f>IF(C40="","",_xlfn.RANK.AVG(C40,C$2:C$56,1))</f>
        <v/>
      </c>
      <c r="F40" s="2" t="str">
        <f t="shared" si="0"/>
        <v/>
      </c>
      <c r="G40" s="2" t="str">
        <f t="shared" si="1"/>
        <v/>
      </c>
      <c r="H40" s="2" t="str">
        <f t="shared" si="2"/>
        <v/>
      </c>
      <c r="N40" t="s">
        <v>5</v>
      </c>
      <c r="O40" s="2">
        <f>6*SUM(H:H)/(O7*(O7^2-1))</f>
        <v>2</v>
      </c>
    </row>
    <row r="41" spans="1:15" x14ac:dyDescent="0.35">
      <c r="A41" s="4">
        <v>1</v>
      </c>
      <c r="B41" s="4"/>
      <c r="C41" s="2"/>
      <c r="D41" s="2"/>
      <c r="E41" s="2" t="str">
        <f>IF(C41="","",_xlfn.RANK.AVG(C41,C$2:C$56,1))</f>
        <v/>
      </c>
      <c r="F41" s="2" t="str">
        <f t="shared" si="0"/>
        <v/>
      </c>
      <c r="G41" s="2" t="str">
        <f t="shared" si="1"/>
        <v/>
      </c>
      <c r="H41" s="2" t="str">
        <f t="shared" si="2"/>
        <v/>
      </c>
    </row>
    <row r="42" spans="1:15" x14ac:dyDescent="0.35">
      <c r="A42" s="4">
        <v>2</v>
      </c>
      <c r="B42" s="4">
        <v>80</v>
      </c>
      <c r="C42" s="2"/>
      <c r="D42" s="2"/>
      <c r="E42" s="2" t="str">
        <f>IF(C42="","",_xlfn.RANK.AVG(C42,C$2:C$56,1))</f>
        <v/>
      </c>
      <c r="F42" s="2" t="str">
        <f t="shared" si="0"/>
        <v/>
      </c>
      <c r="G42" s="2" t="str">
        <f t="shared" si="1"/>
        <v/>
      </c>
      <c r="H42" s="2" t="str">
        <f t="shared" si="2"/>
        <v/>
      </c>
    </row>
    <row r="43" spans="1:15" x14ac:dyDescent="0.35">
      <c r="A43" s="4">
        <v>5</v>
      </c>
      <c r="B43" s="4">
        <v>98</v>
      </c>
      <c r="C43" s="2"/>
      <c r="D43" s="2"/>
      <c r="E43" s="2" t="str">
        <f>IF(C43="","",_xlfn.RANK.AVG(C43,C$2:C$56,1))</f>
        <v/>
      </c>
      <c r="F43" s="2" t="str">
        <f t="shared" si="0"/>
        <v/>
      </c>
      <c r="G43" s="2" t="str">
        <f t="shared" si="1"/>
        <v/>
      </c>
      <c r="H43" s="2" t="str">
        <f t="shared" si="2"/>
        <v/>
      </c>
    </row>
    <row r="44" spans="1:15" x14ac:dyDescent="0.35">
      <c r="A44" s="4">
        <v>1</v>
      </c>
      <c r="B44" s="4">
        <v>10</v>
      </c>
      <c r="C44" s="2"/>
      <c r="D44" s="2"/>
      <c r="E44" s="2" t="str">
        <f>IF(C44="","",_xlfn.RANK.AVG(C44,C$2:C$56,1))</f>
        <v/>
      </c>
      <c r="F44" s="2" t="str">
        <f t="shared" si="0"/>
        <v/>
      </c>
      <c r="G44" s="2" t="str">
        <f t="shared" si="1"/>
        <v/>
      </c>
      <c r="H44" s="2" t="str">
        <f t="shared" si="2"/>
        <v/>
      </c>
    </row>
    <row r="45" spans="1:15" x14ac:dyDescent="0.35">
      <c r="A45" s="4">
        <v>1</v>
      </c>
      <c r="B45" s="4">
        <v>40</v>
      </c>
      <c r="C45" s="2"/>
      <c r="D45" s="2"/>
      <c r="E45" s="2" t="str">
        <f>IF(C45="","",_xlfn.RANK.AVG(C45,C$2:C$56,1))</f>
        <v/>
      </c>
      <c r="F45" s="2" t="str">
        <f t="shared" si="0"/>
        <v/>
      </c>
      <c r="G45" s="2" t="str">
        <f t="shared" si="1"/>
        <v/>
      </c>
      <c r="H45" s="2" t="str">
        <f t="shared" si="2"/>
        <v/>
      </c>
    </row>
    <row r="46" spans="1:15" x14ac:dyDescent="0.35">
      <c r="A46" s="4">
        <v>3</v>
      </c>
      <c r="B46" s="4">
        <v>63</v>
      </c>
      <c r="C46" s="2"/>
      <c r="D46" s="2"/>
      <c r="E46" s="2" t="str">
        <f>IF(C46="","",_xlfn.RANK.AVG(C46,C$2:C$56,1))</f>
        <v/>
      </c>
      <c r="F46" s="2" t="str">
        <f t="shared" si="0"/>
        <v/>
      </c>
      <c r="G46" s="2" t="str">
        <f t="shared" si="1"/>
        <v/>
      </c>
      <c r="H46" s="2" t="str">
        <f t="shared" si="2"/>
        <v/>
      </c>
    </row>
    <row r="47" spans="1:15" x14ac:dyDescent="0.35">
      <c r="A47" s="4">
        <v>3</v>
      </c>
      <c r="B47" s="4">
        <v>75</v>
      </c>
      <c r="C47" s="2"/>
      <c r="D47" s="2"/>
      <c r="E47" s="2" t="str">
        <f>IF(C47="","",_xlfn.RANK.AVG(C47,C$2:C$56,1))</f>
        <v/>
      </c>
      <c r="F47" s="2" t="str">
        <f t="shared" si="0"/>
        <v/>
      </c>
      <c r="G47" s="2" t="str">
        <f t="shared" si="1"/>
        <v/>
      </c>
      <c r="H47" s="2" t="str">
        <f t="shared" si="2"/>
        <v/>
      </c>
    </row>
    <row r="48" spans="1:15" x14ac:dyDescent="0.35">
      <c r="A48" s="4">
        <v>3</v>
      </c>
      <c r="B48" s="4">
        <v>80</v>
      </c>
      <c r="C48" s="2"/>
      <c r="D48" s="2"/>
      <c r="E48" s="2" t="str">
        <f>IF(C48="","",_xlfn.RANK.AVG(C48,C$2:C$56,1))</f>
        <v/>
      </c>
      <c r="F48" s="2" t="str">
        <f t="shared" si="0"/>
        <v/>
      </c>
      <c r="G48" s="2" t="str">
        <f t="shared" si="1"/>
        <v/>
      </c>
      <c r="H48" s="2" t="str">
        <f t="shared" si="2"/>
        <v/>
      </c>
    </row>
    <row r="49" spans="1:8" x14ac:dyDescent="0.35">
      <c r="A49" s="4">
        <v>1</v>
      </c>
      <c r="B49" s="4">
        <v>40</v>
      </c>
      <c r="C49" s="2"/>
      <c r="D49" s="2"/>
      <c r="E49" s="2" t="str">
        <f>IF(C49="","",_xlfn.RANK.AVG(C49,C$2:C$56,1))</f>
        <v/>
      </c>
      <c r="F49" s="2" t="str">
        <f t="shared" si="0"/>
        <v/>
      </c>
      <c r="G49" s="2" t="str">
        <f t="shared" si="1"/>
        <v/>
      </c>
      <c r="H49" s="2" t="str">
        <f t="shared" si="2"/>
        <v/>
      </c>
    </row>
    <row r="50" spans="1:8" x14ac:dyDescent="0.35">
      <c r="A50" s="4">
        <v>4</v>
      </c>
      <c r="B50" s="4">
        <v>90</v>
      </c>
      <c r="C50" s="2"/>
      <c r="D50" s="2"/>
      <c r="E50" s="2" t="str">
        <f>IF(C50="","",_xlfn.RANK.AVG(C50,C$2:C$56,1))</f>
        <v/>
      </c>
      <c r="F50" s="2" t="str">
        <f t="shared" si="0"/>
        <v/>
      </c>
      <c r="G50" s="2" t="str">
        <f t="shared" si="1"/>
        <v/>
      </c>
      <c r="H50" s="2" t="str">
        <f t="shared" si="2"/>
        <v/>
      </c>
    </row>
    <row r="51" spans="1:8" x14ac:dyDescent="0.35">
      <c r="A51" s="4">
        <v>3</v>
      </c>
      <c r="B51" s="4">
        <v>100</v>
      </c>
      <c r="C51" s="2"/>
      <c r="D51" s="2"/>
      <c r="E51" s="2" t="str">
        <f>IF(C51="","",_xlfn.RANK.AVG(C51,C$2:C$56,1))</f>
        <v/>
      </c>
      <c r="F51" s="2" t="str">
        <f t="shared" si="0"/>
        <v/>
      </c>
      <c r="G51" s="2" t="str">
        <f t="shared" si="1"/>
        <v/>
      </c>
      <c r="H51" s="2" t="str">
        <f t="shared" si="2"/>
        <v/>
      </c>
    </row>
    <row r="52" spans="1:8" x14ac:dyDescent="0.35">
      <c r="A52" s="4">
        <v>1</v>
      </c>
      <c r="B52" s="4">
        <v>33</v>
      </c>
      <c r="C52" s="2"/>
      <c r="D52" s="2"/>
      <c r="E52" s="2" t="str">
        <f>IF(C52="","",_xlfn.RANK.AVG(C52,C$2:C$56,1))</f>
        <v/>
      </c>
      <c r="F52" s="2" t="str">
        <f t="shared" si="0"/>
        <v/>
      </c>
      <c r="G52" s="2" t="str">
        <f t="shared" si="1"/>
        <v/>
      </c>
      <c r="H52" s="2" t="str">
        <f t="shared" si="2"/>
        <v/>
      </c>
    </row>
    <row r="53" spans="1:8" x14ac:dyDescent="0.35">
      <c r="A53" s="4">
        <v>1</v>
      </c>
      <c r="B53" s="4">
        <v>36</v>
      </c>
      <c r="C53" s="2"/>
      <c r="D53" s="2"/>
      <c r="E53" s="2" t="str">
        <f>IF(C53="","",_xlfn.RANK.AVG(C53,C$2:C$56,1))</f>
        <v/>
      </c>
      <c r="F53" s="2" t="str">
        <f t="shared" si="0"/>
        <v/>
      </c>
      <c r="G53" s="2" t="str">
        <f t="shared" si="1"/>
        <v/>
      </c>
      <c r="H53" s="2" t="str">
        <f t="shared" si="2"/>
        <v/>
      </c>
    </row>
    <row r="54" spans="1:8" x14ac:dyDescent="0.35">
      <c r="A54" s="4">
        <v>2</v>
      </c>
      <c r="B54" s="4">
        <v>65</v>
      </c>
      <c r="C54" s="2"/>
      <c r="D54" s="2"/>
      <c r="E54" s="2" t="str">
        <f>IF(C54="","",_xlfn.RANK.AVG(C54,C$2:C$56,1))</f>
        <v/>
      </c>
      <c r="F54" s="2" t="str">
        <f t="shared" si="0"/>
        <v/>
      </c>
      <c r="G54" s="2" t="str">
        <f t="shared" si="1"/>
        <v/>
      </c>
      <c r="H54" s="2" t="str">
        <f t="shared" si="2"/>
        <v/>
      </c>
    </row>
    <row r="55" spans="1:8" x14ac:dyDescent="0.35">
      <c r="A55" s="4">
        <v>3</v>
      </c>
      <c r="B55" s="4">
        <v>78</v>
      </c>
      <c r="C55" s="2"/>
      <c r="D55" s="2"/>
      <c r="E55" s="2" t="str">
        <f>IF(C55="","",_xlfn.RANK.AVG(C55,C$2:C$56,1))</f>
        <v/>
      </c>
      <c r="F55" s="2" t="str">
        <f t="shared" si="0"/>
        <v/>
      </c>
      <c r="G55" s="2" t="str">
        <f t="shared" si="1"/>
        <v/>
      </c>
      <c r="H55" s="2" t="str">
        <f t="shared" si="2"/>
        <v/>
      </c>
    </row>
    <row r="56" spans="1:8" x14ac:dyDescent="0.35">
      <c r="A56" s="4">
        <v>1</v>
      </c>
      <c r="B56" s="4">
        <v>50</v>
      </c>
      <c r="C56" s="2"/>
      <c r="D56" s="2"/>
      <c r="E56" s="2" t="str">
        <f>IF(C56="","",_xlfn.RANK.AVG(C56,C$2:C$56,1))</f>
        <v/>
      </c>
      <c r="F56" s="2" t="str">
        <f t="shared" si="0"/>
        <v/>
      </c>
      <c r="G56" s="2" t="str">
        <f t="shared" si="1"/>
        <v/>
      </c>
      <c r="H56" s="2" t="str">
        <f t="shared" si="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USER</cp:lastModifiedBy>
  <dcterms:created xsi:type="dcterms:W3CDTF">2017-04-25T06:43:44Z</dcterms:created>
  <dcterms:modified xsi:type="dcterms:W3CDTF">2019-04-13T07:00:27Z</dcterms:modified>
</cp:coreProperties>
</file>