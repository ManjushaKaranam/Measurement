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1&amp;4\"/>
    </mc:Choice>
  </mc:AlternateContent>
  <xr:revisionPtr revIDLastSave="0" documentId="8_{08C3EB46-E447-46C8-92AF-44E02EDD3B3C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4" i="1"/>
  <c r="K18" i="1"/>
  <c r="K26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G19" i="1" s="1"/>
  <c r="H19" i="1" s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<sst xmlns="http://schemas.openxmlformats.org/spreadsheetml/2006/main" count="47" uniqueCount="44">
  <si>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</si>
  <si>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</si>
  <si>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</si>
  <si>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</si>
  <si>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</si>
  <si>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</si>
  <si>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</si>
  <si>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</si>
  <si>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</si>
  <si>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</si>
  <si>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</si>
  <si>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</si>
  <si>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</si>
  <si>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</si>
  <si>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</si>
  <si>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</si>
  <si>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</si>
  <si>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</si>
  <si>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</si>
  <si>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</si>
  <si>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</si>
  <si>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</si>
  <si>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</si>
  <si>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</si>
  <si>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</si>
  <si>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</si>
  <si>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</si>
  <si>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</si>
  <si>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</si>
  <si>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</si>
  <si>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</si>
  <si>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</si>
  <si>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</si>
  <si>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</si>
  <si>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</si>
  <si>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</si>
  <si>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</si>
  <si>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</si>
  <si>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</si>
  <si>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</si>
  <si>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</si>
  <si>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</si>
  <si>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Line_Coverage</t>
  </si>
  <si>
    <t xml:space="preserve">Total_Complexity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</si>
</sst>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workbookViewId="0">
      <selection activeCell="J30" sqref="J30"/>
    </sheetView>
  </sheetViews>
  <sheetFormatPr defaultRowHeight="15" x14ac:dyDescent="0.25"/>
  <cols>
    <col min="1" max="1" width="16.42578125" bestFit="1" customWidth="1"/>
    <col min="2" max="2" width="17.28515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1</v>
      </c>
      <c r="C2" s="2">
        <f>IF(AND($A2&lt;&gt;"",$B2&lt;&gt;""),A2,"")</f>
        <v>100</v>
      </c>
      <c r="D2" s="2">
        <f t="shared" ref="D2:D65" si="0">IF(AND($A2&lt;&gt;"",$B2&lt;&gt;""),B2,"")</f>
        <v>1</v>
      </c>
      <c r="E2" s="2">
        <f>IF(C2="","",_xlfn.RANK.AVG(C2,C$2:C$1003,1))</f>
        <v>296.5</v>
      </c>
      <c r="F2" s="2">
        <f>IF(D2="","",_xlfn.RANK.AVG(D2,D$2:D$1003,1))</f>
        <v>9.5</v>
      </c>
      <c r="G2" s="2">
        <f>IF(C2="","",E2-F2)</f>
        <v>287</v>
      </c>
      <c r="H2" s="2">
        <f>IF(C2="","",G2^2)</f>
        <v>82369</v>
      </c>
      <c r="M2" s="6" t="s">
        <v>34</v>
      </c>
    </row>
    <row r="3" spans="1:15" x14ac:dyDescent="0.25">
      <c r="A3">
        <v>77.272727272727266</v>
      </c>
      <c r="B3">
        <v>31</v>
      </c>
      <c r="C3" s="2">
        <f t="shared" ref="C3:D66" si="1">IF(AND($A3&lt;&gt;"",$B3&lt;&gt;""),A3,"")</f>
        <v>77.272727272727266</v>
      </c>
      <c r="D3" s="2">
        <f t="shared" si="0"/>
        <v>31</v>
      </c>
      <c r="E3" s="2">
        <f t="shared" ref="E3:E66" si="2">IF(C3="","",_xlfn.RANK.AVG(C3,C$2:C$1003,1))</f>
        <v>211.5</v>
      </c>
      <c r="F3" s="2">
        <f t="shared" ref="F3:F66" si="3">IF(D3="","",_xlfn.RANK.AVG(D3,D$2:D$1003,1))</f>
        <v>272.5</v>
      </c>
      <c r="G3" s="2">
        <f t="shared" ref="G3:G66" si="4">IF(C3="","",E3-F3)</f>
        <v>-61</v>
      </c>
      <c r="H3" s="2">
        <f t="shared" ref="H3:H66" si="5">IF(C3="","",G3^2)</f>
        <v>3721</v>
      </c>
      <c r="M3" s="1" t="s">
        <v>35</v>
      </c>
    </row>
    <row r="4" spans="1:15" x14ac:dyDescent="0.25">
      <c r="A4">
        <v>42.857142857142854</v>
      </c>
      <c r="B4">
        <v>7</v>
      </c>
      <c r="C4" s="2">
        <f t="shared" si="1"/>
        <v>42.857142857142854</v>
      </c>
      <c r="D4" s="2">
        <f t="shared" si="0"/>
        <v>7</v>
      </c>
      <c r="E4" s="2">
        <f t="shared" si="2"/>
        <v>133.5</v>
      </c>
      <c r="F4" s="2">
        <f t="shared" si="3"/>
        <v>137.5</v>
      </c>
      <c r="G4" s="2">
        <f t="shared" si="4"/>
        <v>-4</v>
      </c>
      <c r="H4" s="2">
        <f t="shared" si="5"/>
        <v>16</v>
      </c>
    </row>
    <row r="5" spans="1:15" x14ac:dyDescent="0.25">
      <c r="A5">
        <v>8.3832335329341312</v>
      </c>
      <c r="B5">
        <v>67</v>
      </c>
      <c r="C5" s="2">
        <f t="shared" si="1"/>
        <v>8.3832335329341312</v>
      </c>
      <c r="D5" s="2">
        <f t="shared" si="0"/>
        <v>67</v>
      </c>
      <c r="E5" s="2">
        <f t="shared" si="2"/>
        <v>86</v>
      </c>
      <c r="F5" s="2">
        <f t="shared" si="3"/>
        <v>299</v>
      </c>
      <c r="G5" s="2">
        <f t="shared" si="4"/>
        <v>-213</v>
      </c>
      <c r="H5" s="2">
        <f t="shared" si="5"/>
        <v>45369</v>
      </c>
      <c r="M5" s="3" t="s">
        <v>7</v>
      </c>
      <c r="N5" t="s">
        <v>33</v>
      </c>
    </row>
    <row r="6" spans="1:15" x14ac:dyDescent="0.25">
      <c r="A6">
        <v>33.333333333333329</v>
      </c>
      <c r="B6">
        <v>3</v>
      </c>
      <c r="C6" s="2">
        <f t="shared" si="1"/>
        <v>33.333333333333329</v>
      </c>
      <c r="D6" s="2">
        <f t="shared" si="0"/>
        <v>3</v>
      </c>
      <c r="E6" s="2">
        <f t="shared" si="2"/>
        <v>115</v>
      </c>
      <c r="F6" s="2">
        <f t="shared" si="3"/>
        <v>51</v>
      </c>
      <c r="G6" s="2">
        <f t="shared" si="4"/>
        <v>64</v>
      </c>
      <c r="H6" s="2">
        <f t="shared" si="5"/>
        <v>4096</v>
      </c>
      <c r="N6" s="1" t="s">
        <v>8</v>
      </c>
    </row>
    <row r="7" spans="1:15" x14ac:dyDescent="0.25">
      <c r="A7">
        <v>50</v>
      </c>
      <c r="B7">
        <v>7</v>
      </c>
      <c r="C7" s="2">
        <f t="shared" si="1"/>
        <v>50</v>
      </c>
      <c r="D7" s="2">
        <f t="shared" si="0"/>
        <v>7</v>
      </c>
      <c r="E7" s="2">
        <f t="shared" si="2"/>
        <v>148.5</v>
      </c>
      <c r="F7" s="2">
        <f t="shared" si="3"/>
        <v>137.5</v>
      </c>
      <c r="G7" s="2">
        <f t="shared" si="4"/>
        <v>11</v>
      </c>
      <c r="H7" s="2">
        <f t="shared" si="5"/>
        <v>121</v>
      </c>
      <c r="N7" t="s">
        <v>2</v>
      </c>
      <c r="O7" s="2">
        <f>COUNT(C:C)</f>
        <v>317</v>
      </c>
    </row>
    <row r="8" spans="1:15" x14ac:dyDescent="0.25">
      <c r="A8">
        <v>80</v>
      </c>
      <c r="B8">
        <v>4</v>
      </c>
      <c r="C8" s="2">
        <f t="shared" si="1"/>
        <v>80</v>
      </c>
      <c r="D8" s="2">
        <f t="shared" si="0"/>
        <v>4</v>
      </c>
      <c r="E8" s="2">
        <f t="shared" si="2"/>
        <v>220</v>
      </c>
      <c r="F8" s="2">
        <f t="shared" si="3"/>
        <v>80</v>
      </c>
      <c r="G8" s="2">
        <f t="shared" si="4"/>
        <v>140</v>
      </c>
      <c r="H8" s="2">
        <f t="shared" si="5"/>
        <v>19600</v>
      </c>
    </row>
    <row r="9" spans="1:15" x14ac:dyDescent="0.25">
      <c r="A9">
        <v>71.428571428571431</v>
      </c>
      <c r="B9">
        <v>7</v>
      </c>
      <c r="C9" s="2">
        <f t="shared" si="1"/>
        <v>71.428571428571431</v>
      </c>
      <c r="D9" s="2">
        <f t="shared" si="0"/>
        <v>7</v>
      </c>
      <c r="E9" s="2">
        <f t="shared" si="2"/>
        <v>201</v>
      </c>
      <c r="F9" s="2">
        <f t="shared" si="3"/>
        <v>137.5</v>
      </c>
      <c r="G9" s="2">
        <f t="shared" si="4"/>
        <v>63.5</v>
      </c>
      <c r="H9" s="2">
        <f t="shared" si="5"/>
        <v>4032.25</v>
      </c>
      <c r="M9" s="3" t="s">
        <v>9</v>
      </c>
      <c r="N9" t="s">
        <v>10</v>
      </c>
    </row>
    <row r="10" spans="1:15" x14ac:dyDescent="0.25">
      <c r="A10">
        <v>50</v>
      </c>
      <c r="B10">
        <v>3</v>
      </c>
      <c r="C10" s="2">
        <f t="shared" si="1"/>
        <v>50</v>
      </c>
      <c r="D10" s="2">
        <f t="shared" si="0"/>
        <v>3</v>
      </c>
      <c r="E10" s="2">
        <f t="shared" si="2"/>
        <v>148.5</v>
      </c>
      <c r="F10" s="2">
        <f t="shared" si="3"/>
        <v>51</v>
      </c>
      <c r="G10" s="2">
        <f t="shared" si="4"/>
        <v>97.5</v>
      </c>
      <c r="H10" s="2">
        <f t="shared" si="5"/>
        <v>9506.25</v>
      </c>
      <c r="N10" s="1" t="s">
        <v>11</v>
      </c>
    </row>
    <row r="11" spans="1:15" x14ac:dyDescent="0.25">
      <c r="A11">
        <v>88.888888888888886</v>
      </c>
      <c r="B11">
        <v>4</v>
      </c>
      <c r="C11" s="2">
        <f t="shared" si="1"/>
        <v>88.888888888888886</v>
      </c>
      <c r="D11" s="2">
        <f t="shared" si="0"/>
        <v>4</v>
      </c>
      <c r="E11" s="2">
        <f t="shared" si="2"/>
        <v>250</v>
      </c>
      <c r="F11" s="2">
        <f t="shared" si="3"/>
        <v>80</v>
      </c>
      <c r="G11" s="2">
        <f t="shared" si="4"/>
        <v>170</v>
      </c>
      <c r="H11" s="2">
        <f t="shared" si="5"/>
        <v>28900</v>
      </c>
    </row>
    <row r="12" spans="1:15" x14ac:dyDescent="0.25">
      <c r="A12">
        <v>67.123287671232873</v>
      </c>
      <c r="B12">
        <v>31</v>
      </c>
      <c r="C12" s="2">
        <f t="shared" si="1"/>
        <v>67.123287671232873</v>
      </c>
      <c r="D12" s="2">
        <f t="shared" si="0"/>
        <v>31</v>
      </c>
      <c r="E12" s="2">
        <f t="shared" si="2"/>
        <v>186</v>
      </c>
      <c r="F12" s="2">
        <f t="shared" si="3"/>
        <v>272.5</v>
      </c>
      <c r="G12" s="2">
        <f t="shared" si="4"/>
        <v>-86.5</v>
      </c>
      <c r="H12" s="2">
        <f t="shared" si="5"/>
        <v>7482.25</v>
      </c>
      <c r="M12" s="3" t="s">
        <v>12</v>
      </c>
      <c r="N12" t="s">
        <v>13</v>
      </c>
    </row>
    <row r="13" spans="1:15" x14ac:dyDescent="0.25">
      <c r="A13">
        <v>66.666666666666657</v>
      </c>
      <c r="B13">
        <v>3</v>
      </c>
      <c r="C13" s="2">
        <f t="shared" si="1"/>
        <v>66.666666666666657</v>
      </c>
      <c r="D13" s="2">
        <f t="shared" si="0"/>
        <v>3</v>
      </c>
      <c r="E13" s="2">
        <f t="shared" si="2"/>
        <v>183.5</v>
      </c>
      <c r="F13" s="2">
        <f t="shared" si="3"/>
        <v>51</v>
      </c>
      <c r="G13" s="2">
        <f t="shared" si="4"/>
        <v>132.5</v>
      </c>
      <c r="H13" s="2">
        <f t="shared" si="5"/>
        <v>17556.25</v>
      </c>
    </row>
    <row r="14" spans="1:15" ht="18" x14ac:dyDescent="0.35">
      <c r="A14">
        <v>0</v>
      </c>
      <c r="B14">
        <v>5</v>
      </c>
      <c r="C14" s="2">
        <f t="shared" si="1"/>
        <v>0</v>
      </c>
      <c r="D14" s="2">
        <f t="shared" si="0"/>
        <v>5</v>
      </c>
      <c r="E14" s="2">
        <f t="shared" si="2"/>
        <v>40.5</v>
      </c>
      <c r="F14" s="2">
        <f t="shared" si="3"/>
        <v>102</v>
      </c>
      <c r="G14" s="2">
        <f t="shared" si="4"/>
        <v>-61.5</v>
      </c>
      <c r="H14" s="2">
        <f t="shared" si="5"/>
        <v>3782.25</v>
      </c>
      <c r="J14" s="4" t="s">
        <v>36</v>
      </c>
      <c r="K14" s="5">
        <f>SPEARMANRHO($A$2:$A$1003,$B$2:$B$1003,1)</f>
        <v>-6.4311485156535675E-2</v>
      </c>
      <c r="N14" t="s">
        <v>37</v>
      </c>
      <c r="O14" s="2">
        <f>CORREL(E:E,F:F)</f>
        <v>-6.4311485156535661E-2</v>
      </c>
    </row>
    <row r="15" spans="1:15" x14ac:dyDescent="0.25">
      <c r="A15">
        <v>57.627118644067799</v>
      </c>
      <c r="B15">
        <v>20</v>
      </c>
      <c r="C15" s="2">
        <f t="shared" si="1"/>
        <v>57.627118644067799</v>
      </c>
      <c r="D15" s="2">
        <f t="shared" si="0"/>
        <v>20</v>
      </c>
      <c r="E15" s="2">
        <f t="shared" si="2"/>
        <v>162</v>
      </c>
      <c r="F15" s="2">
        <f t="shared" si="3"/>
        <v>236.5</v>
      </c>
      <c r="G15" s="2">
        <f t="shared" si="4"/>
        <v>-74.5</v>
      </c>
      <c r="H15" s="2">
        <f t="shared" si="5"/>
        <v>5550.25</v>
      </c>
    </row>
    <row r="16" spans="1:15" x14ac:dyDescent="0.25">
      <c r="A16">
        <v>50</v>
      </c>
      <c r="B16">
        <v>4</v>
      </c>
      <c r="C16" s="2">
        <f t="shared" si="1"/>
        <v>50</v>
      </c>
      <c r="D16" s="2">
        <f t="shared" si="0"/>
        <v>4</v>
      </c>
      <c r="E16" s="2">
        <f t="shared" si="2"/>
        <v>148.5</v>
      </c>
      <c r="F16" s="2">
        <f t="shared" si="3"/>
        <v>80</v>
      </c>
      <c r="G16" s="2">
        <f t="shared" si="4"/>
        <v>68.5</v>
      </c>
      <c r="H16" s="2">
        <f t="shared" si="5"/>
        <v>4692.25</v>
      </c>
      <c r="M16" s="3" t="s">
        <v>14</v>
      </c>
      <c r="N16" t="s">
        <v>15</v>
      </c>
    </row>
    <row r="17" spans="1:16" x14ac:dyDescent="0.25">
      <c r="A17">
        <v>0</v>
      </c>
      <c r="B17">
        <v>23</v>
      </c>
      <c r="C17" s="2">
        <f t="shared" si="1"/>
        <v>0</v>
      </c>
      <c r="D17" s="2">
        <f t="shared" si="0"/>
        <v>23</v>
      </c>
      <c r="E17" s="2">
        <f t="shared" si="2"/>
        <v>40.5</v>
      </c>
      <c r="F17" s="2">
        <f t="shared" si="3"/>
        <v>251.5</v>
      </c>
      <c r="G17" s="2">
        <f t="shared" si="4"/>
        <v>-211</v>
      </c>
      <c r="H17" s="2">
        <f t="shared" si="5"/>
        <v>44521</v>
      </c>
    </row>
    <row r="18" spans="1:16" x14ac:dyDescent="0.25">
      <c r="A18">
        <v>0</v>
      </c>
      <c r="B18">
        <v>89</v>
      </c>
      <c r="C18" s="2">
        <f t="shared" si="1"/>
        <v>0</v>
      </c>
      <c r="D18" s="2">
        <f t="shared" si="0"/>
        <v>89</v>
      </c>
      <c r="E18" s="2">
        <f t="shared" si="2"/>
        <v>40.5</v>
      </c>
      <c r="F18" s="2">
        <f t="shared" si="3"/>
        <v>307</v>
      </c>
      <c r="G18" s="2">
        <f t="shared" si="4"/>
        <v>-266.5</v>
      </c>
      <c r="H18" s="2">
        <f t="shared" si="5"/>
        <v>71022.25</v>
      </c>
      <c r="J18" s="4" t="s">
        <v>36</v>
      </c>
      <c r="K18" s="5">
        <f>SPEARMANRHO($A$2:$A$1003,$B$2:$B$1003,2)</f>
        <v>-1.1437834075495652</v>
      </c>
      <c r="N18" t="s">
        <v>4</v>
      </c>
      <c r="O18" s="2">
        <f>O14*SQRT((O7-2)/(1-O14^2))</f>
        <v>-1.143783407549565</v>
      </c>
    </row>
    <row r="19" spans="1:16" x14ac:dyDescent="0.25">
      <c r="A19">
        <v>38.888888888888893</v>
      </c>
      <c r="B19">
        <v>12</v>
      </c>
      <c r="C19" s="2">
        <f t="shared" si="1"/>
        <v>38.888888888888893</v>
      </c>
      <c r="D19" s="2">
        <f t="shared" si="0"/>
        <v>12</v>
      </c>
      <c r="E19" s="2">
        <f t="shared" si="2"/>
        <v>126</v>
      </c>
      <c r="F19" s="2">
        <f t="shared" si="3"/>
        <v>192.5</v>
      </c>
      <c r="G19" s="2">
        <f t="shared" si="4"/>
        <v>-66.5</v>
      </c>
      <c r="H19" s="2">
        <f t="shared" si="5"/>
        <v>4422.25</v>
      </c>
    </row>
    <row r="20" spans="1:16" x14ac:dyDescent="0.25">
      <c r="A20">
        <v>50</v>
      </c>
      <c r="B20">
        <v>23</v>
      </c>
      <c r="C20" s="2">
        <f t="shared" si="1"/>
        <v>50</v>
      </c>
      <c r="D20" s="2">
        <f t="shared" si="0"/>
        <v>23</v>
      </c>
      <c r="E20" s="2">
        <f t="shared" si="2"/>
        <v>148.5</v>
      </c>
      <c r="F20" s="2">
        <f t="shared" si="3"/>
        <v>251.5</v>
      </c>
      <c r="G20" s="2">
        <f t="shared" si="4"/>
        <v>-103</v>
      </c>
      <c r="H20" s="2">
        <f t="shared" si="5"/>
        <v>10609</v>
      </c>
      <c r="M20" s="3" t="s">
        <v>16</v>
      </c>
      <c r="N20" t="s">
        <v>17</v>
      </c>
    </row>
    <row r="21" spans="1:16" x14ac:dyDescent="0.25">
      <c r="A21">
        <v>30.76923076923077</v>
      </c>
      <c r="B21">
        <v>8</v>
      </c>
      <c r="C21" s="2">
        <f t="shared" si="1"/>
        <v>30.76923076923077</v>
      </c>
      <c r="D21" s="2">
        <f t="shared" si="0"/>
        <v>8</v>
      </c>
      <c r="E21" s="2">
        <f t="shared" si="2"/>
        <v>106.5</v>
      </c>
      <c r="F21" s="2">
        <f t="shared" si="3"/>
        <v>152.5</v>
      </c>
      <c r="G21" s="2">
        <f t="shared" si="4"/>
        <v>-46</v>
      </c>
      <c r="H21" s="2">
        <f t="shared" si="5"/>
        <v>2116</v>
      </c>
    </row>
    <row r="22" spans="1:16" x14ac:dyDescent="0.25">
      <c r="A22">
        <v>80</v>
      </c>
      <c r="B22">
        <v>4</v>
      </c>
      <c r="C22" s="2">
        <f t="shared" si="1"/>
        <v>80</v>
      </c>
      <c r="D22" s="2">
        <f t="shared" si="0"/>
        <v>4</v>
      </c>
      <c r="E22" s="2">
        <f t="shared" si="2"/>
        <v>220</v>
      </c>
      <c r="F22" s="2">
        <f t="shared" si="3"/>
        <v>80</v>
      </c>
      <c r="G22" s="2">
        <f t="shared" si="4"/>
        <v>140</v>
      </c>
      <c r="H22" s="2">
        <f t="shared" si="5"/>
        <v>19600</v>
      </c>
      <c r="J22" s="4" t="s">
        <v>36</v>
      </c>
      <c r="K22" s="5">
        <f>SPEARMANRHO($A$2:$A$1003,$B$2:$B$1003,3)</f>
        <v>315</v>
      </c>
      <c r="N22" t="s">
        <v>5</v>
      </c>
      <c r="O22" s="2">
        <f>O7-2</f>
        <v>315</v>
      </c>
    </row>
    <row r="23" spans="1:16" x14ac:dyDescent="0.25">
      <c r="A23">
        <v>0</v>
      </c>
      <c r="B23">
        <v>29</v>
      </c>
      <c r="C23" s="2">
        <f t="shared" si="1"/>
        <v>0</v>
      </c>
      <c r="D23" s="2">
        <f t="shared" si="0"/>
        <v>29</v>
      </c>
      <c r="E23" s="2">
        <f t="shared" si="2"/>
        <v>40.5</v>
      </c>
      <c r="F23" s="2">
        <f t="shared" si="3"/>
        <v>267.5</v>
      </c>
      <c r="G23" s="2">
        <f t="shared" si="4"/>
        <v>-227</v>
      </c>
      <c r="H23" s="2">
        <f t="shared" si="5"/>
        <v>51529</v>
      </c>
    </row>
    <row r="24" spans="1:16" x14ac:dyDescent="0.25">
      <c r="A24">
        <v>0</v>
      </c>
      <c r="B24">
        <v>47</v>
      </c>
      <c r="C24" s="2">
        <f t="shared" si="1"/>
        <v>0</v>
      </c>
      <c r="D24" s="2">
        <f t="shared" si="0"/>
        <v>47</v>
      </c>
      <c r="E24" s="2">
        <f t="shared" si="2"/>
        <v>40.5</v>
      </c>
      <c r="F24" s="2">
        <f t="shared" si="3"/>
        <v>290</v>
      </c>
      <c r="G24" s="2">
        <f t="shared" si="4"/>
        <v>-249.5</v>
      </c>
      <c r="H24" s="2">
        <f t="shared" si="5"/>
        <v>62250.25</v>
      </c>
      <c r="M24" s="3" t="s">
        <v>18</v>
      </c>
      <c r="N24" t="s">
        <v>19</v>
      </c>
    </row>
    <row r="25" spans="1:16" x14ac:dyDescent="0.25">
      <c r="A25">
        <v>7.6923076923076925</v>
      </c>
      <c r="B25">
        <v>6</v>
      </c>
      <c r="C25" s="2">
        <f t="shared" si="1"/>
        <v>7.6923076923076925</v>
      </c>
      <c r="D25" s="2">
        <f t="shared" si="0"/>
        <v>6</v>
      </c>
      <c r="E25" s="2">
        <f t="shared" si="2"/>
        <v>85</v>
      </c>
      <c r="F25" s="2">
        <f t="shared" si="3"/>
        <v>119</v>
      </c>
      <c r="G25" s="2">
        <f t="shared" si="4"/>
        <v>-34</v>
      </c>
      <c r="H25" s="2">
        <f t="shared" si="5"/>
        <v>1156</v>
      </c>
    </row>
    <row r="26" spans="1:16" x14ac:dyDescent="0.25">
      <c r="A26">
        <v>100</v>
      </c>
      <c r="B26">
        <v>1</v>
      </c>
      <c r="C26" s="2">
        <f t="shared" si="1"/>
        <v>100</v>
      </c>
      <c r="D26" s="2">
        <f t="shared" si="0"/>
        <v>1</v>
      </c>
      <c r="E26" s="2">
        <f t="shared" si="2"/>
        <v>296.5</v>
      </c>
      <c r="F26" s="2">
        <f t="shared" si="3"/>
        <v>9.5</v>
      </c>
      <c r="G26" s="2">
        <f t="shared" si="4"/>
        <v>287</v>
      </c>
      <c r="H26" s="2">
        <f t="shared" si="5"/>
        <v>82369</v>
      </c>
      <c r="J26" s="4" t="s">
        <v>36</v>
      </c>
      <c r="K26" s="5">
        <f>SPEARMANRHO($A$2:$A$1003,$B$2:$B1003)</f>
        <v>0.2535819226893653</v>
      </c>
      <c r="N26" t="s">
        <v>6</v>
      </c>
      <c r="O26" s="2">
        <f>_xlfn.T.DIST.2T(ABS(O18),O22)</f>
        <v>0.25358192268936552</v>
      </c>
      <c r="P26" t="s">
        <v>20</v>
      </c>
    </row>
    <row r="27" spans="1:16" x14ac:dyDescent="0.25">
      <c r="A27">
        <v>92.307692307692307</v>
      </c>
      <c r="B27">
        <v>23</v>
      </c>
      <c r="C27" s="2">
        <f t="shared" si="1"/>
        <v>92.307692307692307</v>
      </c>
      <c r="D27" s="2">
        <f t="shared" si="0"/>
        <v>23</v>
      </c>
      <c r="E27" s="2">
        <f t="shared" si="2"/>
        <v>260.5</v>
      </c>
      <c r="F27" s="2">
        <f t="shared" si="3"/>
        <v>251.5</v>
      </c>
      <c r="G27" s="2">
        <f t="shared" si="4"/>
        <v>9</v>
      </c>
      <c r="H27" s="2">
        <f t="shared" si="5"/>
        <v>81</v>
      </c>
      <c r="O27" s="2">
        <f>TDIST(ABS(O18),O22,2)</f>
        <v>0.25358192268936552</v>
      </c>
      <c r="P27" t="s">
        <v>21</v>
      </c>
    </row>
    <row r="28" spans="1:16" x14ac:dyDescent="0.25">
      <c r="A28">
        <v>95.3125</v>
      </c>
      <c r="B28">
        <v>23</v>
      </c>
      <c r="C28" s="2">
        <f t="shared" si="1"/>
        <v>95.3125</v>
      </c>
      <c r="D28" s="2">
        <f t="shared" si="0"/>
        <v>23</v>
      </c>
      <c r="E28" s="2">
        <f t="shared" si="2"/>
        <v>268</v>
      </c>
      <c r="F28" s="2">
        <f t="shared" si="3"/>
        <v>251.5</v>
      </c>
      <c r="G28" s="2">
        <f t="shared" si="4"/>
        <v>16.5</v>
      </c>
      <c r="H28" s="2">
        <f t="shared" si="5"/>
        <v>272.25</v>
      </c>
      <c r="O28" s="2">
        <f>2*(1-_xlfn.T.DIST(ABS(O18),O22,TRUE))</f>
        <v>0.25358192268936541</v>
      </c>
      <c r="P28" t="s">
        <v>22</v>
      </c>
    </row>
    <row r="29" spans="1:16" x14ac:dyDescent="0.25">
      <c r="A29">
        <v>0</v>
      </c>
      <c r="B29">
        <v>9</v>
      </c>
      <c r="C29" s="2">
        <f t="shared" si="1"/>
        <v>0</v>
      </c>
      <c r="D29" s="2">
        <f t="shared" si="0"/>
        <v>9</v>
      </c>
      <c r="E29" s="2">
        <f t="shared" si="2"/>
        <v>40.5</v>
      </c>
      <c r="F29" s="2">
        <f t="shared" si="3"/>
        <v>165</v>
      </c>
      <c r="G29" s="2">
        <f t="shared" si="4"/>
        <v>-124.5</v>
      </c>
      <c r="H29" s="2">
        <f t="shared" si="5"/>
        <v>15500.25</v>
      </c>
    </row>
    <row r="30" spans="1:16" x14ac:dyDescent="0.25">
      <c r="A30">
        <v>87.142857142857139</v>
      </c>
      <c r="B30">
        <v>28</v>
      </c>
      <c r="C30" s="2">
        <f t="shared" si="1"/>
        <v>87.142857142857139</v>
      </c>
      <c r="D30" s="2">
        <f t="shared" si="0"/>
        <v>28</v>
      </c>
      <c r="E30" s="2">
        <f t="shared" si="2"/>
        <v>243</v>
      </c>
      <c r="F30" s="2">
        <f t="shared" si="3"/>
        <v>265.5</v>
      </c>
      <c r="G30" s="2">
        <f t="shared" si="4"/>
        <v>-22.5</v>
      </c>
      <c r="H30" s="2">
        <f t="shared" si="5"/>
        <v>506.25</v>
      </c>
      <c r="M30" s="3" t="s">
        <v>23</v>
      </c>
      <c r="N30" s="3" t="s">
        <v>24</v>
      </c>
    </row>
    <row r="31" spans="1:16" x14ac:dyDescent="0.25">
      <c r="A31">
        <v>84.313725490196077</v>
      </c>
      <c r="B31">
        <v>26</v>
      </c>
      <c r="C31" s="2">
        <f t="shared" si="1"/>
        <v>84.313725490196077</v>
      </c>
      <c r="D31" s="2">
        <f t="shared" si="0"/>
        <v>26</v>
      </c>
      <c r="E31" s="2">
        <f t="shared" si="2"/>
        <v>237</v>
      </c>
      <c r="F31" s="2">
        <f t="shared" si="3"/>
        <v>261</v>
      </c>
      <c r="G31" s="2">
        <f t="shared" si="4"/>
        <v>-24</v>
      </c>
      <c r="H31" s="2">
        <f t="shared" si="5"/>
        <v>576</v>
      </c>
    </row>
    <row r="32" spans="1:16" x14ac:dyDescent="0.25">
      <c r="A32">
        <v>0</v>
      </c>
      <c r="B32">
        <v>11</v>
      </c>
      <c r="C32" s="2">
        <f t="shared" si="1"/>
        <v>0</v>
      </c>
      <c r="D32" s="2">
        <f t="shared" si="0"/>
        <v>11</v>
      </c>
      <c r="E32" s="2">
        <f t="shared" si="2"/>
        <v>40.5</v>
      </c>
      <c r="F32" s="2">
        <f t="shared" si="3"/>
        <v>182</v>
      </c>
      <c r="G32" s="2">
        <f t="shared" si="4"/>
        <v>-141.5</v>
      </c>
      <c r="H32" s="2">
        <f t="shared" si="5"/>
        <v>20022.25</v>
      </c>
      <c r="M32" t="s">
        <v>25</v>
      </c>
      <c r="N32" t="s">
        <v>26</v>
      </c>
    </row>
    <row r="33" spans="1:15" x14ac:dyDescent="0.25">
      <c r="A33">
        <v>57.894736842105267</v>
      </c>
      <c r="B33">
        <v>19</v>
      </c>
      <c r="C33" s="2">
        <f t="shared" si="1"/>
        <v>57.894736842105267</v>
      </c>
      <c r="D33" s="2">
        <f t="shared" si="0"/>
        <v>19</v>
      </c>
      <c r="E33" s="2">
        <f t="shared" si="2"/>
        <v>163</v>
      </c>
      <c r="F33" s="2">
        <f t="shared" si="3"/>
        <v>231</v>
      </c>
      <c r="G33" s="2">
        <f t="shared" si="4"/>
        <v>-68</v>
      </c>
      <c r="H33" s="2">
        <f t="shared" si="5"/>
        <v>4624</v>
      </c>
      <c r="N33" s="1" t="s">
        <v>27</v>
      </c>
    </row>
    <row r="34" spans="1:15" x14ac:dyDescent="0.25">
      <c r="A34">
        <v>51.546391752577314</v>
      </c>
      <c r="B34">
        <v>39</v>
      </c>
      <c r="C34" s="2">
        <f t="shared" si="1"/>
        <v>51.546391752577314</v>
      </c>
      <c r="D34" s="2">
        <f t="shared" si="0"/>
        <v>39</v>
      </c>
      <c r="E34" s="2">
        <f t="shared" si="2"/>
        <v>154</v>
      </c>
      <c r="F34" s="2">
        <f t="shared" si="3"/>
        <v>283.5</v>
      </c>
      <c r="G34" s="2">
        <f t="shared" si="4"/>
        <v>-129.5</v>
      </c>
      <c r="H34" s="2">
        <f t="shared" si="5"/>
        <v>16770.25</v>
      </c>
    </row>
    <row r="35" spans="1:15" x14ac:dyDescent="0.25">
      <c r="A35">
        <v>92.1875</v>
      </c>
      <c r="B35">
        <v>17</v>
      </c>
      <c r="C35" s="2">
        <f t="shared" si="1"/>
        <v>92.1875</v>
      </c>
      <c r="D35" s="2">
        <f t="shared" si="0"/>
        <v>17</v>
      </c>
      <c r="E35" s="2">
        <f t="shared" si="2"/>
        <v>259</v>
      </c>
      <c r="F35" s="2">
        <f t="shared" si="3"/>
        <v>225</v>
      </c>
      <c r="G35" s="2">
        <f t="shared" si="4"/>
        <v>34</v>
      </c>
      <c r="H35" s="2">
        <f t="shared" si="5"/>
        <v>1156</v>
      </c>
      <c r="M35" t="s">
        <v>28</v>
      </c>
      <c r="N35" t="s">
        <v>29</v>
      </c>
    </row>
    <row r="36" spans="1:15" x14ac:dyDescent="0.25">
      <c r="A36">
        <v>0</v>
      </c>
      <c r="B36">
        <v>7</v>
      </c>
      <c r="C36" s="2">
        <f t="shared" si="1"/>
        <v>0</v>
      </c>
      <c r="D36" s="2">
        <f t="shared" si="0"/>
        <v>7</v>
      </c>
      <c r="E36" s="2">
        <f t="shared" si="2"/>
        <v>40.5</v>
      </c>
      <c r="F36" s="2">
        <f t="shared" si="3"/>
        <v>137.5</v>
      </c>
      <c r="G36" s="2">
        <f t="shared" si="4"/>
        <v>-97</v>
      </c>
      <c r="H36" s="2">
        <f t="shared" si="5"/>
        <v>9409</v>
      </c>
      <c r="N36" s="1" t="s">
        <v>30</v>
      </c>
    </row>
    <row r="37" spans="1:15" x14ac:dyDescent="0.25">
      <c r="A37">
        <v>32.142857142857146</v>
      </c>
      <c r="B37">
        <v>12</v>
      </c>
      <c r="C37" s="2">
        <f t="shared" si="1"/>
        <v>32.142857142857146</v>
      </c>
      <c r="D37" s="2">
        <f t="shared" si="0"/>
        <v>12</v>
      </c>
      <c r="E37" s="2">
        <f t="shared" si="2"/>
        <v>110</v>
      </c>
      <c r="F37" s="2">
        <f t="shared" si="3"/>
        <v>192.5</v>
      </c>
      <c r="G37" s="2">
        <f t="shared" si="4"/>
        <v>-82.5</v>
      </c>
      <c r="H37" s="2">
        <f t="shared" si="5"/>
        <v>6806.25</v>
      </c>
    </row>
    <row r="38" spans="1:15" x14ac:dyDescent="0.25">
      <c r="A38">
        <v>64.285714285714292</v>
      </c>
      <c r="B38">
        <v>10</v>
      </c>
      <c r="C38" s="2">
        <f t="shared" si="1"/>
        <v>64.285714285714292</v>
      </c>
      <c r="D38" s="2">
        <f t="shared" si="0"/>
        <v>10</v>
      </c>
      <c r="E38" s="2">
        <f t="shared" si="2"/>
        <v>178</v>
      </c>
      <c r="F38" s="2">
        <f t="shared" si="3"/>
        <v>175</v>
      </c>
      <c r="G38" s="2">
        <f t="shared" si="4"/>
        <v>3</v>
      </c>
      <c r="H38" s="2">
        <f t="shared" si="5"/>
        <v>9</v>
      </c>
      <c r="M38" t="s">
        <v>31</v>
      </c>
      <c r="N38" t="s">
        <v>32</v>
      </c>
    </row>
    <row r="39" spans="1:15" x14ac:dyDescent="0.25">
      <c r="A39">
        <v>33.333333333333329</v>
      </c>
      <c r="B39">
        <v>3</v>
      </c>
      <c r="C39" s="2">
        <f t="shared" si="1"/>
        <v>33.333333333333329</v>
      </c>
      <c r="D39" s="2">
        <f t="shared" si="0"/>
        <v>3</v>
      </c>
      <c r="E39" s="2">
        <f t="shared" si="2"/>
        <v>115</v>
      </c>
      <c r="F39" s="2">
        <f t="shared" si="3"/>
        <v>51</v>
      </c>
      <c r="G39" s="2">
        <f t="shared" si="4"/>
        <v>64</v>
      </c>
      <c r="H39" s="2">
        <f t="shared" si="5"/>
        <v>4096</v>
      </c>
    </row>
    <row r="40" spans="1:15" x14ac:dyDescent="0.25">
      <c r="A40">
        <v>43.478260869565219</v>
      </c>
      <c r="B40">
        <v>21</v>
      </c>
      <c r="C40" s="2">
        <f t="shared" si="1"/>
        <v>43.478260869565219</v>
      </c>
      <c r="D40" s="2">
        <f t="shared" si="0"/>
        <v>21</v>
      </c>
      <c r="E40" s="2">
        <f t="shared" si="2"/>
        <v>136</v>
      </c>
      <c r="F40" s="2">
        <f t="shared" si="3"/>
        <v>242</v>
      </c>
      <c r="G40" s="2">
        <f t="shared" si="4"/>
        <v>-106</v>
      </c>
      <c r="H40" s="2">
        <f t="shared" si="5"/>
        <v>11236</v>
      </c>
      <c r="N40" t="s">
        <v>3</v>
      </c>
      <c r="O40" s="2">
        <f>6*SUM(H:H)/(O7*(O7^2-1))</f>
        <v>1.0530333110069547</v>
      </c>
    </row>
    <row r="41" spans="1:15" x14ac:dyDescent="0.25">
      <c r="A41">
        <v>20.37037037037037</v>
      </c>
      <c r="B41">
        <v>27</v>
      </c>
      <c r="C41" s="2">
        <f t="shared" si="1"/>
        <v>20.37037037037037</v>
      </c>
      <c r="D41" s="2">
        <f t="shared" si="0"/>
        <v>27</v>
      </c>
      <c r="E41" s="2">
        <f t="shared" si="2"/>
        <v>94</v>
      </c>
      <c r="F41" s="2">
        <f t="shared" si="3"/>
        <v>263.5</v>
      </c>
      <c r="G41" s="2">
        <f t="shared" si="4"/>
        <v>-169.5</v>
      </c>
      <c r="H41" s="2">
        <f t="shared" si="5"/>
        <v>28730.25</v>
      </c>
    </row>
    <row r="42" spans="1:15" x14ac:dyDescent="0.25">
      <c r="A42">
        <v>68.965517241379317</v>
      </c>
      <c r="B42">
        <v>8</v>
      </c>
      <c r="C42" s="2">
        <f t="shared" si="1"/>
        <v>68.965517241379317</v>
      </c>
      <c r="D42" s="2">
        <f t="shared" si="0"/>
        <v>8</v>
      </c>
      <c r="E42" s="2">
        <f t="shared" si="2"/>
        <v>191</v>
      </c>
      <c r="F42" s="2">
        <f t="shared" si="3"/>
        <v>152.5</v>
      </c>
      <c r="G42" s="2">
        <f t="shared" si="4"/>
        <v>38.5</v>
      </c>
      <c r="H42" s="2">
        <f t="shared" si="5"/>
        <v>1482.25</v>
      </c>
    </row>
    <row r="43" spans="1:15" x14ac:dyDescent="0.25">
      <c r="A43">
        <v>100</v>
      </c>
      <c r="B43">
        <v>1</v>
      </c>
      <c r="C43" s="2">
        <f t="shared" si="1"/>
        <v>100</v>
      </c>
      <c r="D43" s="2">
        <f t="shared" si="0"/>
        <v>1</v>
      </c>
      <c r="E43" s="2">
        <f t="shared" si="2"/>
        <v>296.5</v>
      </c>
      <c r="F43" s="2">
        <f t="shared" si="3"/>
        <v>9.5</v>
      </c>
      <c r="G43" s="2">
        <f t="shared" si="4"/>
        <v>287</v>
      </c>
      <c r="H43" s="2">
        <f t="shared" si="5"/>
        <v>82369</v>
      </c>
    </row>
    <row r="44" spans="1:15" x14ac:dyDescent="0.25">
      <c r="A44">
        <v>43.75</v>
      </c>
      <c r="B44">
        <v>17</v>
      </c>
      <c r="C44" s="2">
        <f t="shared" si="1"/>
        <v>43.75</v>
      </c>
      <c r="D44" s="2">
        <f t="shared" si="0"/>
        <v>17</v>
      </c>
      <c r="E44" s="2">
        <f t="shared" si="2"/>
        <v>137</v>
      </c>
      <c r="F44" s="2">
        <f t="shared" si="3"/>
        <v>225</v>
      </c>
      <c r="G44" s="2">
        <f t="shared" si="4"/>
        <v>-88</v>
      </c>
      <c r="H44" s="2">
        <f t="shared" si="5"/>
        <v>7744</v>
      </c>
    </row>
    <row r="45" spans="1:15" x14ac:dyDescent="0.25">
      <c r="A45">
        <v>70</v>
      </c>
      <c r="B45">
        <v>7</v>
      </c>
      <c r="C45" s="2">
        <f t="shared" si="1"/>
        <v>70</v>
      </c>
      <c r="D45" s="2">
        <f t="shared" si="0"/>
        <v>7</v>
      </c>
      <c r="E45" s="2">
        <f t="shared" si="2"/>
        <v>196</v>
      </c>
      <c r="F45" s="2">
        <f t="shared" si="3"/>
        <v>137.5</v>
      </c>
      <c r="G45" s="2">
        <f t="shared" si="4"/>
        <v>58.5</v>
      </c>
      <c r="H45" s="2">
        <f t="shared" si="5"/>
        <v>3422.25</v>
      </c>
    </row>
    <row r="46" spans="1:15" x14ac:dyDescent="0.25">
      <c r="A46">
        <v>100</v>
      </c>
      <c r="B46">
        <v>6</v>
      </c>
      <c r="C46" s="2">
        <f t="shared" si="1"/>
        <v>100</v>
      </c>
      <c r="D46" s="2">
        <f t="shared" si="0"/>
        <v>6</v>
      </c>
      <c r="E46" s="2">
        <f t="shared" si="2"/>
        <v>296.5</v>
      </c>
      <c r="F46" s="2">
        <f t="shared" si="3"/>
        <v>119</v>
      </c>
      <c r="G46" s="2">
        <f t="shared" si="4"/>
        <v>177.5</v>
      </c>
      <c r="H46" s="2">
        <f t="shared" si="5"/>
        <v>31506.25</v>
      </c>
    </row>
    <row r="47" spans="1:15" x14ac:dyDescent="0.25">
      <c r="A47">
        <v>73.333333333333329</v>
      </c>
      <c r="B47">
        <v>7</v>
      </c>
      <c r="C47" s="2">
        <f t="shared" si="1"/>
        <v>73.333333333333329</v>
      </c>
      <c r="D47" s="2">
        <f t="shared" si="0"/>
        <v>7</v>
      </c>
      <c r="E47" s="2">
        <f t="shared" si="2"/>
        <v>203</v>
      </c>
      <c r="F47" s="2">
        <f t="shared" si="3"/>
        <v>137.5</v>
      </c>
      <c r="G47" s="2">
        <f t="shared" si="4"/>
        <v>65.5</v>
      </c>
      <c r="H47" s="2">
        <f t="shared" si="5"/>
        <v>4290.25</v>
      </c>
    </row>
    <row r="48" spans="1:15" x14ac:dyDescent="0.25">
      <c r="A48">
        <v>100</v>
      </c>
      <c r="B48">
        <v>3</v>
      </c>
      <c r="C48" s="2">
        <f t="shared" si="1"/>
        <v>100</v>
      </c>
      <c r="D48" s="2">
        <f t="shared" si="0"/>
        <v>3</v>
      </c>
      <c r="E48" s="2">
        <f t="shared" si="2"/>
        <v>296.5</v>
      </c>
      <c r="F48" s="2">
        <f t="shared" si="3"/>
        <v>51</v>
      </c>
      <c r="G48" s="2">
        <f t="shared" si="4"/>
        <v>245.5</v>
      </c>
      <c r="H48" s="2">
        <f t="shared" si="5"/>
        <v>60270.25</v>
      </c>
    </row>
    <row r="49" spans="1:8" x14ac:dyDescent="0.25">
      <c r="A49">
        <v>100</v>
      </c>
      <c r="B49">
        <v>18</v>
      </c>
      <c r="C49" s="2">
        <f t="shared" si="1"/>
        <v>100</v>
      </c>
      <c r="D49" s="2">
        <f t="shared" si="0"/>
        <v>18</v>
      </c>
      <c r="E49" s="2">
        <f t="shared" si="2"/>
        <v>296.5</v>
      </c>
      <c r="F49" s="2">
        <f t="shared" si="3"/>
        <v>228</v>
      </c>
      <c r="G49" s="2">
        <f t="shared" si="4"/>
        <v>68.5</v>
      </c>
      <c r="H49" s="2">
        <f t="shared" si="5"/>
        <v>4692.25</v>
      </c>
    </row>
    <row r="50" spans="1:8" x14ac:dyDescent="0.25">
      <c r="A50">
        <v>0</v>
      </c>
      <c r="B50">
        <v>3</v>
      </c>
      <c r="C50" s="2">
        <f t="shared" si="1"/>
        <v>0</v>
      </c>
      <c r="D50" s="2">
        <f t="shared" si="0"/>
        <v>3</v>
      </c>
      <c r="E50" s="2">
        <f t="shared" si="2"/>
        <v>40.5</v>
      </c>
      <c r="F50" s="2">
        <f t="shared" si="3"/>
        <v>51</v>
      </c>
      <c r="G50" s="2">
        <f t="shared" si="4"/>
        <v>-10.5</v>
      </c>
      <c r="H50" s="2">
        <f t="shared" si="5"/>
        <v>110.25</v>
      </c>
    </row>
    <row r="51" spans="1:8" x14ac:dyDescent="0.25">
      <c r="A51">
        <v>0</v>
      </c>
      <c r="B51">
        <v>6</v>
      </c>
      <c r="C51" s="2">
        <f t="shared" si="1"/>
        <v>0</v>
      </c>
      <c r="D51" s="2">
        <f t="shared" si="0"/>
        <v>6</v>
      </c>
      <c r="E51" s="2">
        <f t="shared" si="2"/>
        <v>40.5</v>
      </c>
      <c r="F51" s="2">
        <f t="shared" si="3"/>
        <v>119</v>
      </c>
      <c r="G51" s="2">
        <f t="shared" si="4"/>
        <v>-78.5</v>
      </c>
      <c r="H51" s="2">
        <f t="shared" si="5"/>
        <v>6162.25</v>
      </c>
    </row>
    <row r="52" spans="1:8" x14ac:dyDescent="0.25">
      <c r="A52">
        <v>91.666666666666657</v>
      </c>
      <c r="B52">
        <v>16</v>
      </c>
      <c r="C52" s="2">
        <f t="shared" si="1"/>
        <v>91.666666666666657</v>
      </c>
      <c r="D52" s="2">
        <f t="shared" si="0"/>
        <v>16</v>
      </c>
      <c r="E52" s="2">
        <f t="shared" si="2"/>
        <v>256</v>
      </c>
      <c r="F52" s="2">
        <f t="shared" si="3"/>
        <v>219</v>
      </c>
      <c r="G52" s="2">
        <f t="shared" si="4"/>
        <v>37</v>
      </c>
      <c r="H52" s="2">
        <f t="shared" si="5"/>
        <v>1369</v>
      </c>
    </row>
    <row r="53" spans="1:8" x14ac:dyDescent="0.25">
      <c r="A53">
        <v>100</v>
      </c>
      <c r="B53">
        <v>7</v>
      </c>
      <c r="C53" s="2">
        <f t="shared" si="1"/>
        <v>100</v>
      </c>
      <c r="D53" s="2">
        <f t="shared" si="0"/>
        <v>7</v>
      </c>
      <c r="E53" s="2">
        <f t="shared" si="2"/>
        <v>296.5</v>
      </c>
      <c r="F53" s="2">
        <f t="shared" si="3"/>
        <v>137.5</v>
      </c>
      <c r="G53" s="2">
        <f t="shared" si="4"/>
        <v>159</v>
      </c>
      <c r="H53" s="2">
        <f t="shared" si="5"/>
        <v>25281</v>
      </c>
    </row>
    <row r="54" spans="1:8" x14ac:dyDescent="0.25">
      <c r="A54">
        <v>0</v>
      </c>
      <c r="B54">
        <v>16</v>
      </c>
      <c r="C54" s="2">
        <f t="shared" si="1"/>
        <v>0</v>
      </c>
      <c r="D54" s="2">
        <f t="shared" si="0"/>
        <v>16</v>
      </c>
      <c r="E54" s="2">
        <f t="shared" si="2"/>
        <v>40.5</v>
      </c>
      <c r="F54" s="2">
        <f t="shared" si="3"/>
        <v>219</v>
      </c>
      <c r="G54" s="2">
        <f t="shared" si="4"/>
        <v>-178.5</v>
      </c>
      <c r="H54" s="2">
        <f t="shared" si="5"/>
        <v>31862.25</v>
      </c>
    </row>
    <row r="55" spans="1:8" x14ac:dyDescent="0.25">
      <c r="A55">
        <v>0</v>
      </c>
      <c r="B55">
        <v>3</v>
      </c>
      <c r="C55" s="2">
        <f t="shared" si="1"/>
        <v>0</v>
      </c>
      <c r="D55" s="2">
        <f t="shared" si="0"/>
        <v>3</v>
      </c>
      <c r="E55" s="2">
        <f t="shared" si="2"/>
        <v>40.5</v>
      </c>
      <c r="F55" s="2">
        <f t="shared" si="3"/>
        <v>51</v>
      </c>
      <c r="G55" s="2">
        <f t="shared" si="4"/>
        <v>-10.5</v>
      </c>
      <c r="H55" s="2">
        <f t="shared" si="5"/>
        <v>110.25</v>
      </c>
    </row>
    <row r="56" spans="1:8" x14ac:dyDescent="0.25">
      <c r="A56">
        <v>81.25</v>
      </c>
      <c r="B56">
        <v>6</v>
      </c>
      <c r="C56" s="2">
        <f t="shared" si="1"/>
        <v>81.25</v>
      </c>
      <c r="D56" s="2">
        <f t="shared" si="0"/>
        <v>6</v>
      </c>
      <c r="E56" s="2">
        <f t="shared" si="2"/>
        <v>228.5</v>
      </c>
      <c r="F56" s="2">
        <f t="shared" si="3"/>
        <v>119</v>
      </c>
      <c r="G56" s="2">
        <f t="shared" si="4"/>
        <v>109.5</v>
      </c>
      <c r="H56" s="2">
        <f t="shared" si="5"/>
        <v>11990.25</v>
      </c>
    </row>
    <row r="57" spans="1:8" x14ac:dyDescent="0.25">
      <c r="A57">
        <v>0</v>
      </c>
      <c r="B57">
        <v>12</v>
      </c>
      <c r="C57" s="2">
        <f t="shared" si="1"/>
        <v>0</v>
      </c>
      <c r="D57" s="2">
        <f t="shared" si="0"/>
        <v>12</v>
      </c>
      <c r="E57" s="2">
        <f t="shared" si="2"/>
        <v>40.5</v>
      </c>
      <c r="F57" s="2">
        <f t="shared" si="3"/>
        <v>192.5</v>
      </c>
      <c r="G57" s="2">
        <f t="shared" si="4"/>
        <v>-152</v>
      </c>
      <c r="H57" s="2">
        <f t="shared" si="5"/>
        <v>23104</v>
      </c>
    </row>
    <row r="58" spans="1:8" x14ac:dyDescent="0.25">
      <c r="A58">
        <v>65.217391304347828</v>
      </c>
      <c r="B58">
        <v>15</v>
      </c>
      <c r="C58" s="2">
        <f t="shared" si="1"/>
        <v>65.217391304347828</v>
      </c>
      <c r="D58" s="2">
        <f t="shared" si="0"/>
        <v>15</v>
      </c>
      <c r="E58" s="2">
        <f t="shared" si="2"/>
        <v>180</v>
      </c>
      <c r="F58" s="2">
        <f t="shared" si="3"/>
        <v>214</v>
      </c>
      <c r="G58" s="2">
        <f t="shared" si="4"/>
        <v>-34</v>
      </c>
      <c r="H58" s="2">
        <f t="shared" si="5"/>
        <v>1156</v>
      </c>
    </row>
    <row r="59" spans="1:8" x14ac:dyDescent="0.25">
      <c r="A59">
        <v>97.959183673469383</v>
      </c>
      <c r="B59">
        <v>19</v>
      </c>
      <c r="C59" s="2">
        <f t="shared" si="1"/>
        <v>97.959183673469383</v>
      </c>
      <c r="D59" s="2">
        <f t="shared" si="0"/>
        <v>19</v>
      </c>
      <c r="E59" s="2">
        <f t="shared" si="2"/>
        <v>274</v>
      </c>
      <c r="F59" s="2">
        <f t="shared" si="3"/>
        <v>231</v>
      </c>
      <c r="G59" s="2">
        <f t="shared" si="4"/>
        <v>43</v>
      </c>
      <c r="H59" s="2">
        <f t="shared" si="5"/>
        <v>1849</v>
      </c>
    </row>
    <row r="60" spans="1:8" x14ac:dyDescent="0.25">
      <c r="A60">
        <v>87.5</v>
      </c>
      <c r="B60">
        <v>4</v>
      </c>
      <c r="C60" s="2">
        <f t="shared" si="1"/>
        <v>87.5</v>
      </c>
      <c r="D60" s="2">
        <f t="shared" si="0"/>
        <v>4</v>
      </c>
      <c r="E60" s="2">
        <f t="shared" si="2"/>
        <v>245.5</v>
      </c>
      <c r="F60" s="2">
        <f t="shared" si="3"/>
        <v>80</v>
      </c>
      <c r="G60" s="2">
        <f t="shared" si="4"/>
        <v>165.5</v>
      </c>
      <c r="H60" s="2">
        <f t="shared" si="5"/>
        <v>27390.25</v>
      </c>
    </row>
    <row r="61" spans="1:8" x14ac:dyDescent="0.25">
      <c r="A61">
        <v>0</v>
      </c>
      <c r="B61">
        <v>12</v>
      </c>
      <c r="C61" s="2">
        <f t="shared" si="1"/>
        <v>0</v>
      </c>
      <c r="D61" s="2">
        <f t="shared" si="0"/>
        <v>12</v>
      </c>
      <c r="E61" s="2">
        <f t="shared" si="2"/>
        <v>40.5</v>
      </c>
      <c r="F61" s="2">
        <f t="shared" si="3"/>
        <v>192.5</v>
      </c>
      <c r="G61" s="2">
        <f t="shared" si="4"/>
        <v>-152</v>
      </c>
      <c r="H61" s="2">
        <f t="shared" si="5"/>
        <v>23104</v>
      </c>
    </row>
    <row r="62" spans="1:8" x14ac:dyDescent="0.25">
      <c r="A62">
        <v>96.644295302013433</v>
      </c>
      <c r="B62">
        <v>77</v>
      </c>
      <c r="C62" s="2">
        <f t="shared" si="1"/>
        <v>96.644295302013433</v>
      </c>
      <c r="D62" s="2">
        <f t="shared" si="0"/>
        <v>77</v>
      </c>
      <c r="E62" s="2">
        <f t="shared" si="2"/>
        <v>271</v>
      </c>
      <c r="F62" s="2">
        <f t="shared" si="3"/>
        <v>303</v>
      </c>
      <c r="G62" s="2">
        <f t="shared" si="4"/>
        <v>-32</v>
      </c>
      <c r="H62" s="2">
        <f t="shared" si="5"/>
        <v>1024</v>
      </c>
    </row>
    <row r="63" spans="1:8" x14ac:dyDescent="0.25">
      <c r="A63">
        <v>0</v>
      </c>
      <c r="B63">
        <v>7</v>
      </c>
      <c r="C63" s="2">
        <f t="shared" si="1"/>
        <v>0</v>
      </c>
      <c r="D63" s="2">
        <f t="shared" si="0"/>
        <v>7</v>
      </c>
      <c r="E63" s="2">
        <f t="shared" si="2"/>
        <v>40.5</v>
      </c>
      <c r="F63" s="2">
        <f t="shared" si="3"/>
        <v>137.5</v>
      </c>
      <c r="G63" s="2">
        <f t="shared" si="4"/>
        <v>-97</v>
      </c>
      <c r="H63" s="2">
        <f t="shared" si="5"/>
        <v>9409</v>
      </c>
    </row>
    <row r="64" spans="1:8" x14ac:dyDescent="0.25">
      <c r="A64">
        <v>0</v>
      </c>
      <c r="B64">
        <v>16</v>
      </c>
      <c r="C64" s="2">
        <f t="shared" si="1"/>
        <v>0</v>
      </c>
      <c r="D64" s="2">
        <f t="shared" si="0"/>
        <v>16</v>
      </c>
      <c r="E64" s="2">
        <f t="shared" si="2"/>
        <v>40.5</v>
      </c>
      <c r="F64" s="2">
        <f t="shared" si="3"/>
        <v>219</v>
      </c>
      <c r="G64" s="2">
        <f t="shared" si="4"/>
        <v>-178.5</v>
      </c>
      <c r="H64" s="2">
        <f t="shared" si="5"/>
        <v>31862.25</v>
      </c>
    </row>
    <row r="65" spans="1:8" x14ac:dyDescent="0.25">
      <c r="A65">
        <v>11.76470588235294</v>
      </c>
      <c r="B65">
        <v>8</v>
      </c>
      <c r="C65" s="2">
        <f t="shared" si="1"/>
        <v>11.76470588235294</v>
      </c>
      <c r="D65" s="2">
        <f t="shared" si="0"/>
        <v>8</v>
      </c>
      <c r="E65" s="2">
        <f t="shared" si="2"/>
        <v>89</v>
      </c>
      <c r="F65" s="2">
        <f t="shared" si="3"/>
        <v>152.5</v>
      </c>
      <c r="G65" s="2">
        <f t="shared" si="4"/>
        <v>-63.5</v>
      </c>
      <c r="H65" s="2">
        <f t="shared" si="5"/>
        <v>4032.25</v>
      </c>
    </row>
    <row r="66" spans="1:8" x14ac:dyDescent="0.25">
      <c r="A66">
        <v>46.153846153846153</v>
      </c>
      <c r="B66">
        <v>9</v>
      </c>
      <c r="C66" s="2">
        <f t="shared" si="1"/>
        <v>46.153846153846153</v>
      </c>
      <c r="D66" s="2">
        <f t="shared" si="1"/>
        <v>9</v>
      </c>
      <c r="E66" s="2">
        <f t="shared" si="2"/>
        <v>142</v>
      </c>
      <c r="F66" s="2">
        <f t="shared" si="3"/>
        <v>165</v>
      </c>
      <c r="G66" s="2">
        <f t="shared" si="4"/>
        <v>-23</v>
      </c>
      <c r="H66" s="2">
        <f t="shared" si="5"/>
        <v>529</v>
      </c>
    </row>
    <row r="67" spans="1:8" x14ac:dyDescent="0.25">
      <c r="A67">
        <v>0</v>
      </c>
      <c r="B67">
        <v>3</v>
      </c>
      <c r="C67" s="2">
        <f t="shared" ref="C67:D130" si="6">IF(AND($A67&lt;&gt;"",$B67&lt;&gt;""),A67,"")</f>
        <v>0</v>
      </c>
      <c r="D67" s="2">
        <f t="shared" si="6"/>
        <v>3</v>
      </c>
      <c r="E67" s="2">
        <f t="shared" ref="E67:E130" si="7">IF(C67="","",_xlfn.RANK.AVG(C67,C$2:C$1003,1))</f>
        <v>40.5</v>
      </c>
      <c r="F67" s="2">
        <f t="shared" ref="F67:F130" si="8">IF(D67="","",_xlfn.RANK.AVG(D67,D$2:D$1003,1))</f>
        <v>51</v>
      </c>
      <c r="G67" s="2">
        <f t="shared" ref="G67:G130" si="9">IF(C67="","",E67-F67)</f>
        <v>-10.5</v>
      </c>
      <c r="H67" s="2">
        <f t="shared" ref="H67:H130" si="10">IF(C67="","",G67^2)</f>
        <v>110.25</v>
      </c>
    </row>
    <row r="68" spans="1:8" x14ac:dyDescent="0.25">
      <c r="A68">
        <v>40</v>
      </c>
      <c r="B68">
        <v>3</v>
      </c>
      <c r="C68" s="2">
        <f t="shared" si="6"/>
        <v>40</v>
      </c>
      <c r="D68" s="2">
        <f t="shared" si="6"/>
        <v>3</v>
      </c>
      <c r="E68" s="2">
        <f t="shared" si="7"/>
        <v>128</v>
      </c>
      <c r="F68" s="2">
        <f t="shared" si="8"/>
        <v>51</v>
      </c>
      <c r="G68" s="2">
        <f t="shared" si="9"/>
        <v>77</v>
      </c>
      <c r="H68" s="2">
        <f t="shared" si="10"/>
        <v>5929</v>
      </c>
    </row>
    <row r="69" spans="1:8" x14ac:dyDescent="0.25">
      <c r="A69">
        <v>50</v>
      </c>
      <c r="B69">
        <v>5</v>
      </c>
      <c r="C69" s="2">
        <f t="shared" si="6"/>
        <v>50</v>
      </c>
      <c r="D69" s="2">
        <f t="shared" si="6"/>
        <v>5</v>
      </c>
      <c r="E69" s="2">
        <f t="shared" si="7"/>
        <v>148.5</v>
      </c>
      <c r="F69" s="2">
        <f t="shared" si="8"/>
        <v>102</v>
      </c>
      <c r="G69" s="2">
        <f t="shared" si="9"/>
        <v>46.5</v>
      </c>
      <c r="H69" s="2">
        <f t="shared" si="10"/>
        <v>2162.25</v>
      </c>
    </row>
    <row r="70" spans="1:8" x14ac:dyDescent="0.25">
      <c r="A70">
        <v>57.142857142857139</v>
      </c>
      <c r="B70">
        <v>6</v>
      </c>
      <c r="C70" s="2">
        <f t="shared" si="6"/>
        <v>57.142857142857139</v>
      </c>
      <c r="D70" s="2">
        <f t="shared" si="6"/>
        <v>6</v>
      </c>
      <c r="E70" s="2">
        <f t="shared" si="7"/>
        <v>159.5</v>
      </c>
      <c r="F70" s="2">
        <f t="shared" si="8"/>
        <v>119</v>
      </c>
      <c r="G70" s="2">
        <f t="shared" si="9"/>
        <v>40.5</v>
      </c>
      <c r="H70" s="2">
        <f t="shared" si="10"/>
        <v>1640.25</v>
      </c>
    </row>
    <row r="71" spans="1:8" x14ac:dyDescent="0.25">
      <c r="A71">
        <v>68.75</v>
      </c>
      <c r="B71">
        <v>3</v>
      </c>
      <c r="C71" s="2">
        <f t="shared" si="6"/>
        <v>68.75</v>
      </c>
      <c r="D71" s="2">
        <f t="shared" si="6"/>
        <v>3</v>
      </c>
      <c r="E71" s="2">
        <f t="shared" si="7"/>
        <v>189.5</v>
      </c>
      <c r="F71" s="2">
        <f t="shared" si="8"/>
        <v>51</v>
      </c>
      <c r="G71" s="2">
        <f t="shared" si="9"/>
        <v>138.5</v>
      </c>
      <c r="H71" s="2">
        <f t="shared" si="10"/>
        <v>19182.25</v>
      </c>
    </row>
    <row r="72" spans="1:8" x14ac:dyDescent="0.25">
      <c r="A72">
        <v>23.076923076923077</v>
      </c>
      <c r="B72">
        <v>5</v>
      </c>
      <c r="C72" s="2">
        <f t="shared" si="6"/>
        <v>23.076923076923077</v>
      </c>
      <c r="D72" s="2">
        <f t="shared" si="6"/>
        <v>5</v>
      </c>
      <c r="E72" s="2">
        <f t="shared" si="7"/>
        <v>96</v>
      </c>
      <c r="F72" s="2">
        <f t="shared" si="8"/>
        <v>102</v>
      </c>
      <c r="G72" s="2">
        <f t="shared" si="9"/>
        <v>-6</v>
      </c>
      <c r="H72" s="2">
        <f t="shared" si="10"/>
        <v>36</v>
      </c>
    </row>
    <row r="73" spans="1:8" x14ac:dyDescent="0.25">
      <c r="A73">
        <v>0</v>
      </c>
      <c r="B73">
        <v>3</v>
      </c>
      <c r="C73" s="2">
        <f t="shared" si="6"/>
        <v>0</v>
      </c>
      <c r="D73" s="2">
        <f t="shared" si="6"/>
        <v>3</v>
      </c>
      <c r="E73" s="2">
        <f t="shared" si="7"/>
        <v>40.5</v>
      </c>
      <c r="F73" s="2">
        <f t="shared" si="8"/>
        <v>51</v>
      </c>
      <c r="G73" s="2">
        <f t="shared" si="9"/>
        <v>-10.5</v>
      </c>
      <c r="H73" s="2">
        <f t="shared" si="10"/>
        <v>110.25</v>
      </c>
    </row>
    <row r="74" spans="1:8" x14ac:dyDescent="0.25">
      <c r="A74">
        <v>42.857142857142854</v>
      </c>
      <c r="B74">
        <v>8</v>
      </c>
      <c r="C74" s="2">
        <f t="shared" si="6"/>
        <v>42.857142857142854</v>
      </c>
      <c r="D74" s="2">
        <f t="shared" si="6"/>
        <v>8</v>
      </c>
      <c r="E74" s="2">
        <f t="shared" si="7"/>
        <v>133.5</v>
      </c>
      <c r="F74" s="2">
        <f t="shared" si="8"/>
        <v>152.5</v>
      </c>
      <c r="G74" s="2">
        <f t="shared" si="9"/>
        <v>-19</v>
      </c>
      <c r="H74" s="2">
        <f t="shared" si="10"/>
        <v>361</v>
      </c>
    </row>
    <row r="75" spans="1:8" x14ac:dyDescent="0.25">
      <c r="A75">
        <v>0</v>
      </c>
      <c r="B75">
        <v>12</v>
      </c>
      <c r="C75" s="2">
        <f t="shared" si="6"/>
        <v>0</v>
      </c>
      <c r="D75" s="2">
        <f t="shared" si="6"/>
        <v>12</v>
      </c>
      <c r="E75" s="2">
        <f t="shared" si="7"/>
        <v>40.5</v>
      </c>
      <c r="F75" s="2">
        <f t="shared" si="8"/>
        <v>192.5</v>
      </c>
      <c r="G75" s="2">
        <f t="shared" si="9"/>
        <v>-152</v>
      </c>
      <c r="H75" s="2">
        <f t="shared" si="10"/>
        <v>23104</v>
      </c>
    </row>
    <row r="76" spans="1:8" x14ac:dyDescent="0.25">
      <c r="A76">
        <v>0</v>
      </c>
      <c r="B76">
        <v>3</v>
      </c>
      <c r="C76" s="2">
        <f t="shared" si="6"/>
        <v>0</v>
      </c>
      <c r="D76" s="2">
        <f t="shared" si="6"/>
        <v>3</v>
      </c>
      <c r="E76" s="2">
        <f t="shared" si="7"/>
        <v>40.5</v>
      </c>
      <c r="F76" s="2">
        <f t="shared" si="8"/>
        <v>51</v>
      </c>
      <c r="G76" s="2">
        <f t="shared" si="9"/>
        <v>-10.5</v>
      </c>
      <c r="H76" s="2">
        <f t="shared" si="10"/>
        <v>110.25</v>
      </c>
    </row>
    <row r="77" spans="1:8" x14ac:dyDescent="0.25">
      <c r="A77">
        <v>0</v>
      </c>
      <c r="B77">
        <v>3</v>
      </c>
      <c r="C77" s="2">
        <f t="shared" si="6"/>
        <v>0</v>
      </c>
      <c r="D77" s="2">
        <f t="shared" si="6"/>
        <v>3</v>
      </c>
      <c r="E77" s="2">
        <f t="shared" si="7"/>
        <v>40.5</v>
      </c>
      <c r="F77" s="2">
        <f t="shared" si="8"/>
        <v>51</v>
      </c>
      <c r="G77" s="2">
        <f t="shared" si="9"/>
        <v>-10.5</v>
      </c>
      <c r="H77" s="2">
        <f t="shared" si="10"/>
        <v>110.25</v>
      </c>
    </row>
    <row r="78" spans="1:8" x14ac:dyDescent="0.25">
      <c r="A78">
        <v>0</v>
      </c>
      <c r="B78">
        <v>3</v>
      </c>
      <c r="C78" s="2">
        <f t="shared" si="6"/>
        <v>0</v>
      </c>
      <c r="D78" s="2">
        <f t="shared" si="6"/>
        <v>3</v>
      </c>
      <c r="E78" s="2">
        <f t="shared" si="7"/>
        <v>40.5</v>
      </c>
      <c r="F78" s="2">
        <f t="shared" si="8"/>
        <v>51</v>
      </c>
      <c r="G78" s="2">
        <f t="shared" si="9"/>
        <v>-10.5</v>
      </c>
      <c r="H78" s="2">
        <f t="shared" si="10"/>
        <v>110.25</v>
      </c>
    </row>
    <row r="79" spans="1:8" x14ac:dyDescent="0.25">
      <c r="A79">
        <v>29.411764705882355</v>
      </c>
      <c r="B79">
        <v>9</v>
      </c>
      <c r="C79" s="2">
        <f t="shared" si="6"/>
        <v>29.411764705882355</v>
      </c>
      <c r="D79" s="2">
        <f t="shared" si="6"/>
        <v>9</v>
      </c>
      <c r="E79" s="2">
        <f t="shared" si="7"/>
        <v>102.5</v>
      </c>
      <c r="F79" s="2">
        <f t="shared" si="8"/>
        <v>165</v>
      </c>
      <c r="G79" s="2">
        <f t="shared" si="9"/>
        <v>-62.5</v>
      </c>
      <c r="H79" s="2">
        <f t="shared" si="10"/>
        <v>3906.25</v>
      </c>
    </row>
    <row r="80" spans="1:8" x14ac:dyDescent="0.25">
      <c r="A80">
        <v>42.857142857142854</v>
      </c>
      <c r="B80">
        <v>7</v>
      </c>
      <c r="C80" s="2">
        <f t="shared" si="6"/>
        <v>42.857142857142854</v>
      </c>
      <c r="D80" s="2">
        <f t="shared" si="6"/>
        <v>7</v>
      </c>
      <c r="E80" s="2">
        <f t="shared" si="7"/>
        <v>133.5</v>
      </c>
      <c r="F80" s="2">
        <f t="shared" si="8"/>
        <v>137.5</v>
      </c>
      <c r="G80" s="2">
        <f t="shared" si="9"/>
        <v>-4</v>
      </c>
      <c r="H80" s="2">
        <f t="shared" si="10"/>
        <v>16</v>
      </c>
    </row>
    <row r="81" spans="1:8" x14ac:dyDescent="0.25">
      <c r="A81">
        <v>100</v>
      </c>
      <c r="B81">
        <v>1</v>
      </c>
      <c r="C81" s="2">
        <f t="shared" si="6"/>
        <v>100</v>
      </c>
      <c r="D81" s="2">
        <f t="shared" si="6"/>
        <v>1</v>
      </c>
      <c r="E81" s="2">
        <f t="shared" si="7"/>
        <v>296.5</v>
      </c>
      <c r="F81" s="2">
        <f t="shared" si="8"/>
        <v>9.5</v>
      </c>
      <c r="G81" s="2">
        <f t="shared" si="9"/>
        <v>287</v>
      </c>
      <c r="H81" s="2">
        <f t="shared" si="10"/>
        <v>82369</v>
      </c>
    </row>
    <row r="82" spans="1:8" x14ac:dyDescent="0.25">
      <c r="A82">
        <v>100</v>
      </c>
      <c r="B82">
        <v>1</v>
      </c>
      <c r="C82" s="2">
        <f t="shared" si="6"/>
        <v>100</v>
      </c>
      <c r="D82" s="2">
        <f t="shared" si="6"/>
        <v>1</v>
      </c>
      <c r="E82" s="2">
        <f t="shared" si="7"/>
        <v>296.5</v>
      </c>
      <c r="F82" s="2">
        <f t="shared" si="8"/>
        <v>9.5</v>
      </c>
      <c r="G82" s="2">
        <f t="shared" si="9"/>
        <v>287</v>
      </c>
      <c r="H82" s="2">
        <f t="shared" si="10"/>
        <v>82369</v>
      </c>
    </row>
    <row r="83" spans="1:8" x14ac:dyDescent="0.25">
      <c r="A83">
        <v>100</v>
      </c>
      <c r="B83">
        <v>1</v>
      </c>
      <c r="C83" s="2">
        <f t="shared" si="6"/>
        <v>100</v>
      </c>
      <c r="D83" s="2">
        <f t="shared" si="6"/>
        <v>1</v>
      </c>
      <c r="E83" s="2">
        <f t="shared" si="7"/>
        <v>296.5</v>
      </c>
      <c r="F83" s="2">
        <f t="shared" si="8"/>
        <v>9.5</v>
      </c>
      <c r="G83" s="2">
        <f t="shared" si="9"/>
        <v>287</v>
      </c>
      <c r="H83" s="2">
        <f t="shared" si="10"/>
        <v>82369</v>
      </c>
    </row>
    <row r="84" spans="1:8" x14ac:dyDescent="0.25">
      <c r="A84">
        <v>44.444444444444443</v>
      </c>
      <c r="B84">
        <v>6</v>
      </c>
      <c r="C84" s="2">
        <f t="shared" si="6"/>
        <v>44.444444444444443</v>
      </c>
      <c r="D84" s="2">
        <f t="shared" si="6"/>
        <v>6</v>
      </c>
      <c r="E84" s="2">
        <f t="shared" si="7"/>
        <v>139</v>
      </c>
      <c r="F84" s="2">
        <f t="shared" si="8"/>
        <v>119</v>
      </c>
      <c r="G84" s="2">
        <f t="shared" si="9"/>
        <v>20</v>
      </c>
      <c r="H84" s="2">
        <f t="shared" si="10"/>
        <v>400</v>
      </c>
    </row>
    <row r="85" spans="1:8" x14ac:dyDescent="0.25">
      <c r="A85">
        <v>57.232704402515722</v>
      </c>
      <c r="B85">
        <v>76</v>
      </c>
      <c r="C85" s="2">
        <f t="shared" si="6"/>
        <v>57.232704402515722</v>
      </c>
      <c r="D85" s="2">
        <f t="shared" si="6"/>
        <v>76</v>
      </c>
      <c r="E85" s="2">
        <f t="shared" si="7"/>
        <v>161</v>
      </c>
      <c r="F85" s="2">
        <f t="shared" si="8"/>
        <v>302</v>
      </c>
      <c r="G85" s="2">
        <f t="shared" si="9"/>
        <v>-141</v>
      </c>
      <c r="H85" s="2">
        <f t="shared" si="10"/>
        <v>19881</v>
      </c>
    </row>
    <row r="86" spans="1:8" x14ac:dyDescent="0.25">
      <c r="A86">
        <v>0</v>
      </c>
      <c r="B86">
        <v>2</v>
      </c>
      <c r="C86" s="2">
        <f t="shared" si="6"/>
        <v>0</v>
      </c>
      <c r="D86" s="2">
        <f t="shared" si="6"/>
        <v>2</v>
      </c>
      <c r="E86" s="2">
        <f t="shared" si="7"/>
        <v>40.5</v>
      </c>
      <c r="F86" s="2">
        <f t="shared" si="8"/>
        <v>27</v>
      </c>
      <c r="G86" s="2">
        <f t="shared" si="9"/>
        <v>13.5</v>
      </c>
      <c r="H86" s="2">
        <f t="shared" si="10"/>
        <v>182.25</v>
      </c>
    </row>
    <row r="87" spans="1:8" x14ac:dyDescent="0.25">
      <c r="A87">
        <v>32.352941176470587</v>
      </c>
      <c r="B87">
        <v>21</v>
      </c>
      <c r="C87" s="2">
        <f t="shared" si="6"/>
        <v>32.352941176470587</v>
      </c>
      <c r="D87" s="2">
        <f t="shared" si="6"/>
        <v>21</v>
      </c>
      <c r="E87" s="2">
        <f t="shared" si="7"/>
        <v>111</v>
      </c>
      <c r="F87" s="2">
        <f t="shared" si="8"/>
        <v>242</v>
      </c>
      <c r="G87" s="2">
        <f t="shared" si="9"/>
        <v>-131</v>
      </c>
      <c r="H87" s="2">
        <f t="shared" si="10"/>
        <v>17161</v>
      </c>
    </row>
    <row r="88" spans="1:8" x14ac:dyDescent="0.25">
      <c r="A88">
        <v>42.857142857142854</v>
      </c>
      <c r="B88">
        <v>43</v>
      </c>
      <c r="C88" s="2">
        <f t="shared" si="6"/>
        <v>42.857142857142854</v>
      </c>
      <c r="D88" s="2">
        <f t="shared" si="6"/>
        <v>43</v>
      </c>
      <c r="E88" s="2">
        <f t="shared" si="7"/>
        <v>133.5</v>
      </c>
      <c r="F88" s="2">
        <f t="shared" si="8"/>
        <v>287</v>
      </c>
      <c r="G88" s="2">
        <f t="shared" si="9"/>
        <v>-153.5</v>
      </c>
      <c r="H88" s="2">
        <f t="shared" si="10"/>
        <v>23562.25</v>
      </c>
    </row>
    <row r="89" spans="1:8" x14ac:dyDescent="0.25">
      <c r="A89">
        <v>85.714285714285708</v>
      </c>
      <c r="B89">
        <v>4</v>
      </c>
      <c r="C89" s="2">
        <f t="shared" si="6"/>
        <v>85.714285714285708</v>
      </c>
      <c r="D89" s="2">
        <f t="shared" si="6"/>
        <v>4</v>
      </c>
      <c r="E89" s="2">
        <f t="shared" si="7"/>
        <v>240.5</v>
      </c>
      <c r="F89" s="2">
        <f t="shared" si="8"/>
        <v>80</v>
      </c>
      <c r="G89" s="2">
        <f t="shared" si="9"/>
        <v>160.5</v>
      </c>
      <c r="H89" s="2">
        <f t="shared" si="10"/>
        <v>25760.25</v>
      </c>
    </row>
    <row r="90" spans="1:8" x14ac:dyDescent="0.25">
      <c r="A90">
        <v>44.444444444444443</v>
      </c>
      <c r="B90">
        <v>5</v>
      </c>
      <c r="C90" s="2">
        <f t="shared" si="6"/>
        <v>44.444444444444443</v>
      </c>
      <c r="D90" s="2">
        <f t="shared" si="6"/>
        <v>5</v>
      </c>
      <c r="E90" s="2">
        <f t="shared" si="7"/>
        <v>139</v>
      </c>
      <c r="F90" s="2">
        <f t="shared" si="8"/>
        <v>102</v>
      </c>
      <c r="G90" s="2">
        <f t="shared" si="9"/>
        <v>37</v>
      </c>
      <c r="H90" s="2">
        <f t="shared" si="10"/>
        <v>1369</v>
      </c>
    </row>
    <row r="91" spans="1:8" x14ac:dyDescent="0.25">
      <c r="A91">
        <v>0</v>
      </c>
      <c r="B91">
        <v>6</v>
      </c>
      <c r="C91" s="2">
        <f t="shared" si="6"/>
        <v>0</v>
      </c>
      <c r="D91" s="2">
        <f t="shared" si="6"/>
        <v>6</v>
      </c>
      <c r="E91" s="2">
        <f t="shared" si="7"/>
        <v>40.5</v>
      </c>
      <c r="F91" s="2">
        <f t="shared" si="8"/>
        <v>119</v>
      </c>
      <c r="G91" s="2">
        <f t="shared" si="9"/>
        <v>-78.5</v>
      </c>
      <c r="H91" s="2">
        <f t="shared" si="10"/>
        <v>6162.25</v>
      </c>
    </row>
    <row r="92" spans="1:8" x14ac:dyDescent="0.25">
      <c r="A92">
        <v>0</v>
      </c>
      <c r="B92">
        <v>11</v>
      </c>
      <c r="C92" s="2">
        <f t="shared" si="6"/>
        <v>0</v>
      </c>
      <c r="D92" s="2">
        <f t="shared" si="6"/>
        <v>11</v>
      </c>
      <c r="E92" s="2">
        <f t="shared" si="7"/>
        <v>40.5</v>
      </c>
      <c r="F92" s="2">
        <f t="shared" si="8"/>
        <v>182</v>
      </c>
      <c r="G92" s="2">
        <f t="shared" si="9"/>
        <v>-141.5</v>
      </c>
      <c r="H92" s="2">
        <f t="shared" si="10"/>
        <v>20022.25</v>
      </c>
    </row>
    <row r="93" spans="1:8" x14ac:dyDescent="0.25">
      <c r="A93">
        <v>0</v>
      </c>
      <c r="B93">
        <v>2</v>
      </c>
      <c r="C93" s="2">
        <f t="shared" si="6"/>
        <v>0</v>
      </c>
      <c r="D93" s="2">
        <f t="shared" si="6"/>
        <v>2</v>
      </c>
      <c r="E93" s="2">
        <f t="shared" si="7"/>
        <v>40.5</v>
      </c>
      <c r="F93" s="2">
        <f t="shared" si="8"/>
        <v>27</v>
      </c>
      <c r="G93" s="2">
        <f t="shared" si="9"/>
        <v>13.5</v>
      </c>
      <c r="H93" s="2">
        <f t="shared" si="10"/>
        <v>182.25</v>
      </c>
    </row>
    <row r="94" spans="1:8" x14ac:dyDescent="0.25">
      <c r="A94">
        <v>0</v>
      </c>
      <c r="B94">
        <v>2</v>
      </c>
      <c r="C94" s="2">
        <f t="shared" si="6"/>
        <v>0</v>
      </c>
      <c r="D94" s="2">
        <f t="shared" si="6"/>
        <v>2</v>
      </c>
      <c r="E94" s="2">
        <f t="shared" si="7"/>
        <v>40.5</v>
      </c>
      <c r="F94" s="2">
        <f t="shared" si="8"/>
        <v>27</v>
      </c>
      <c r="G94" s="2">
        <f t="shared" si="9"/>
        <v>13.5</v>
      </c>
      <c r="H94" s="2">
        <f t="shared" si="10"/>
        <v>182.25</v>
      </c>
    </row>
    <row r="95" spans="1:8" x14ac:dyDescent="0.25">
      <c r="A95">
        <v>81.818181818181827</v>
      </c>
      <c r="B95">
        <v>7</v>
      </c>
      <c r="C95" s="2">
        <f t="shared" si="6"/>
        <v>81.818181818181827</v>
      </c>
      <c r="D95" s="2">
        <f t="shared" si="6"/>
        <v>7</v>
      </c>
      <c r="E95" s="2">
        <f t="shared" si="7"/>
        <v>230</v>
      </c>
      <c r="F95" s="2">
        <f t="shared" si="8"/>
        <v>137.5</v>
      </c>
      <c r="G95" s="2">
        <f t="shared" si="9"/>
        <v>92.5</v>
      </c>
      <c r="H95" s="2">
        <f t="shared" si="10"/>
        <v>8556.25</v>
      </c>
    </row>
    <row r="96" spans="1:8" x14ac:dyDescent="0.25">
      <c r="A96">
        <v>0</v>
      </c>
      <c r="B96">
        <v>20</v>
      </c>
      <c r="C96" s="2">
        <f t="shared" si="6"/>
        <v>0</v>
      </c>
      <c r="D96" s="2">
        <f t="shared" si="6"/>
        <v>20</v>
      </c>
      <c r="E96" s="2">
        <f t="shared" si="7"/>
        <v>40.5</v>
      </c>
      <c r="F96" s="2">
        <f t="shared" si="8"/>
        <v>236.5</v>
      </c>
      <c r="G96" s="2">
        <f t="shared" si="9"/>
        <v>-196</v>
      </c>
      <c r="H96" s="2">
        <f t="shared" si="10"/>
        <v>38416</v>
      </c>
    </row>
    <row r="97" spans="1:8" x14ac:dyDescent="0.25">
      <c r="A97">
        <v>100</v>
      </c>
      <c r="B97">
        <v>3</v>
      </c>
      <c r="C97" s="2">
        <f t="shared" si="6"/>
        <v>100</v>
      </c>
      <c r="D97" s="2">
        <f t="shared" si="6"/>
        <v>3</v>
      </c>
      <c r="E97" s="2">
        <f t="shared" si="7"/>
        <v>296.5</v>
      </c>
      <c r="F97" s="2">
        <f t="shared" si="8"/>
        <v>51</v>
      </c>
      <c r="G97" s="2">
        <f t="shared" si="9"/>
        <v>245.5</v>
      </c>
      <c r="H97" s="2">
        <f t="shared" si="10"/>
        <v>60270.25</v>
      </c>
    </row>
    <row r="98" spans="1:8" x14ac:dyDescent="0.25">
      <c r="A98">
        <v>100</v>
      </c>
      <c r="B98">
        <v>3</v>
      </c>
      <c r="C98" s="2">
        <f t="shared" si="6"/>
        <v>100</v>
      </c>
      <c r="D98" s="2">
        <f t="shared" si="6"/>
        <v>3</v>
      </c>
      <c r="E98" s="2">
        <f t="shared" si="7"/>
        <v>296.5</v>
      </c>
      <c r="F98" s="2">
        <f t="shared" si="8"/>
        <v>51</v>
      </c>
      <c r="G98" s="2">
        <f t="shared" si="9"/>
        <v>245.5</v>
      </c>
      <c r="H98" s="2">
        <f t="shared" si="10"/>
        <v>60270.25</v>
      </c>
    </row>
    <row r="99" spans="1:8" x14ac:dyDescent="0.25">
      <c r="A99">
        <v>0</v>
      </c>
      <c r="B99">
        <v>32</v>
      </c>
      <c r="C99" s="2">
        <f t="shared" si="6"/>
        <v>0</v>
      </c>
      <c r="D99" s="2">
        <f t="shared" si="6"/>
        <v>32</v>
      </c>
      <c r="E99" s="2">
        <f t="shared" si="7"/>
        <v>40.5</v>
      </c>
      <c r="F99" s="2">
        <f t="shared" si="8"/>
        <v>274.5</v>
      </c>
      <c r="G99" s="2">
        <f t="shared" si="9"/>
        <v>-234</v>
      </c>
      <c r="H99" s="2">
        <f t="shared" si="10"/>
        <v>54756</v>
      </c>
    </row>
    <row r="100" spans="1:8" x14ac:dyDescent="0.25">
      <c r="A100">
        <v>0</v>
      </c>
      <c r="B100">
        <v>10</v>
      </c>
      <c r="C100" s="2">
        <f t="shared" si="6"/>
        <v>0</v>
      </c>
      <c r="D100" s="2">
        <f t="shared" si="6"/>
        <v>10</v>
      </c>
      <c r="E100" s="2">
        <f t="shared" si="7"/>
        <v>40.5</v>
      </c>
      <c r="F100" s="2">
        <f t="shared" si="8"/>
        <v>175</v>
      </c>
      <c r="G100" s="2">
        <f t="shared" si="9"/>
        <v>-134.5</v>
      </c>
      <c r="H100" s="2">
        <f t="shared" si="10"/>
        <v>18090.25</v>
      </c>
    </row>
    <row r="101" spans="1:8" x14ac:dyDescent="0.25">
      <c r="A101">
        <v>70</v>
      </c>
      <c r="B101">
        <v>16</v>
      </c>
      <c r="C101" s="2">
        <f t="shared" si="6"/>
        <v>70</v>
      </c>
      <c r="D101" s="2">
        <f t="shared" si="6"/>
        <v>16</v>
      </c>
      <c r="E101" s="2">
        <f t="shared" si="7"/>
        <v>196</v>
      </c>
      <c r="F101" s="2">
        <f t="shared" si="8"/>
        <v>219</v>
      </c>
      <c r="G101" s="2">
        <f t="shared" si="9"/>
        <v>-23</v>
      </c>
      <c r="H101" s="2">
        <f t="shared" si="10"/>
        <v>529</v>
      </c>
    </row>
    <row r="102" spans="1:8" x14ac:dyDescent="0.25">
      <c r="A102">
        <v>0</v>
      </c>
      <c r="B102">
        <v>6</v>
      </c>
      <c r="C102" s="2">
        <f t="shared" si="6"/>
        <v>0</v>
      </c>
      <c r="D102" s="2">
        <f t="shared" si="6"/>
        <v>6</v>
      </c>
      <c r="E102" s="2">
        <f t="shared" si="7"/>
        <v>40.5</v>
      </c>
      <c r="F102" s="2">
        <f t="shared" si="8"/>
        <v>119</v>
      </c>
      <c r="G102" s="2">
        <f t="shared" si="9"/>
        <v>-78.5</v>
      </c>
      <c r="H102" s="2">
        <f t="shared" si="10"/>
        <v>6162.25</v>
      </c>
    </row>
    <row r="103" spans="1:8" x14ac:dyDescent="0.25">
      <c r="A103">
        <v>88.938053097345133</v>
      </c>
      <c r="B103">
        <v>38</v>
      </c>
      <c r="C103" s="2">
        <f t="shared" si="6"/>
        <v>88.938053097345133</v>
      </c>
      <c r="D103" s="2">
        <f t="shared" si="6"/>
        <v>38</v>
      </c>
      <c r="E103" s="2">
        <f t="shared" si="7"/>
        <v>252</v>
      </c>
      <c r="F103" s="2">
        <f t="shared" si="8"/>
        <v>282</v>
      </c>
      <c r="G103" s="2">
        <f t="shared" si="9"/>
        <v>-30</v>
      </c>
      <c r="H103" s="2">
        <f t="shared" si="10"/>
        <v>900</v>
      </c>
    </row>
    <row r="104" spans="1:8" x14ac:dyDescent="0.25">
      <c r="A104">
        <v>29.220779220779221</v>
      </c>
      <c r="B104">
        <v>64</v>
      </c>
      <c r="C104" s="2">
        <f t="shared" si="6"/>
        <v>29.220779220779221</v>
      </c>
      <c r="D104" s="2">
        <f t="shared" si="6"/>
        <v>64</v>
      </c>
      <c r="E104" s="2">
        <f t="shared" si="7"/>
        <v>101</v>
      </c>
      <c r="F104" s="2">
        <f t="shared" si="8"/>
        <v>298</v>
      </c>
      <c r="G104" s="2">
        <f t="shared" si="9"/>
        <v>-197</v>
      </c>
      <c r="H104" s="2">
        <f t="shared" si="10"/>
        <v>38809</v>
      </c>
    </row>
    <row r="105" spans="1:8" x14ac:dyDescent="0.25">
      <c r="A105">
        <v>81.25</v>
      </c>
      <c r="B105">
        <v>12</v>
      </c>
      <c r="C105" s="2">
        <f t="shared" si="6"/>
        <v>81.25</v>
      </c>
      <c r="D105" s="2">
        <f t="shared" si="6"/>
        <v>12</v>
      </c>
      <c r="E105" s="2">
        <f t="shared" si="7"/>
        <v>228.5</v>
      </c>
      <c r="F105" s="2">
        <f t="shared" si="8"/>
        <v>192.5</v>
      </c>
      <c r="G105" s="2">
        <f t="shared" si="9"/>
        <v>36</v>
      </c>
      <c r="H105" s="2">
        <f t="shared" si="10"/>
        <v>1296</v>
      </c>
    </row>
    <row r="106" spans="1:8" x14ac:dyDescent="0.25">
      <c r="A106">
        <v>80</v>
      </c>
      <c r="B106">
        <v>12</v>
      </c>
      <c r="C106" s="2">
        <f t="shared" si="6"/>
        <v>80</v>
      </c>
      <c r="D106" s="2">
        <f t="shared" si="6"/>
        <v>12</v>
      </c>
      <c r="E106" s="2">
        <f t="shared" si="7"/>
        <v>220</v>
      </c>
      <c r="F106" s="2">
        <f t="shared" si="8"/>
        <v>192.5</v>
      </c>
      <c r="G106" s="2">
        <f t="shared" si="9"/>
        <v>27.5</v>
      </c>
      <c r="H106" s="2">
        <f t="shared" si="10"/>
        <v>756.25</v>
      </c>
    </row>
    <row r="107" spans="1:8" x14ac:dyDescent="0.25">
      <c r="A107">
        <v>0</v>
      </c>
      <c r="B107">
        <v>149</v>
      </c>
      <c r="C107" s="2">
        <f t="shared" si="6"/>
        <v>0</v>
      </c>
      <c r="D107" s="2">
        <f t="shared" si="6"/>
        <v>149</v>
      </c>
      <c r="E107" s="2">
        <f t="shared" si="7"/>
        <v>40.5</v>
      </c>
      <c r="F107" s="2">
        <f t="shared" si="8"/>
        <v>313</v>
      </c>
      <c r="G107" s="2">
        <f t="shared" si="9"/>
        <v>-272.5</v>
      </c>
      <c r="H107" s="2">
        <f t="shared" si="10"/>
        <v>74256.25</v>
      </c>
    </row>
    <row r="108" spans="1:8" x14ac:dyDescent="0.25">
      <c r="A108">
        <v>100</v>
      </c>
      <c r="B108">
        <v>3</v>
      </c>
      <c r="C108" s="2">
        <f t="shared" si="6"/>
        <v>100</v>
      </c>
      <c r="D108" s="2">
        <f t="shared" si="6"/>
        <v>3</v>
      </c>
      <c r="E108" s="2">
        <f t="shared" si="7"/>
        <v>296.5</v>
      </c>
      <c r="F108" s="2">
        <f t="shared" si="8"/>
        <v>51</v>
      </c>
      <c r="G108" s="2">
        <f t="shared" si="9"/>
        <v>245.5</v>
      </c>
      <c r="H108" s="2">
        <f t="shared" si="10"/>
        <v>60270.25</v>
      </c>
    </row>
    <row r="109" spans="1:8" x14ac:dyDescent="0.25">
      <c r="A109">
        <v>0</v>
      </c>
      <c r="B109">
        <v>14</v>
      </c>
      <c r="C109" s="2">
        <f t="shared" si="6"/>
        <v>0</v>
      </c>
      <c r="D109" s="2">
        <f t="shared" si="6"/>
        <v>14</v>
      </c>
      <c r="E109" s="2">
        <f t="shared" si="7"/>
        <v>40.5</v>
      </c>
      <c r="F109" s="2">
        <f t="shared" si="8"/>
        <v>209.5</v>
      </c>
      <c r="G109" s="2">
        <f t="shared" si="9"/>
        <v>-169</v>
      </c>
      <c r="H109" s="2">
        <f t="shared" si="10"/>
        <v>28561</v>
      </c>
    </row>
    <row r="110" spans="1:8" x14ac:dyDescent="0.25">
      <c r="A110">
        <v>82.051282051282044</v>
      </c>
      <c r="B110">
        <v>12</v>
      </c>
      <c r="C110" s="2">
        <f t="shared" si="6"/>
        <v>82.051282051282044</v>
      </c>
      <c r="D110" s="2">
        <f t="shared" si="6"/>
        <v>12</v>
      </c>
      <c r="E110" s="2">
        <f t="shared" si="7"/>
        <v>231</v>
      </c>
      <c r="F110" s="2">
        <f t="shared" si="8"/>
        <v>192.5</v>
      </c>
      <c r="G110" s="2">
        <f t="shared" si="9"/>
        <v>38.5</v>
      </c>
      <c r="H110" s="2">
        <f t="shared" si="10"/>
        <v>1482.25</v>
      </c>
    </row>
    <row r="111" spans="1:8" x14ac:dyDescent="0.25">
      <c r="A111">
        <v>100</v>
      </c>
      <c r="B111">
        <v>3</v>
      </c>
      <c r="C111" s="2">
        <f t="shared" si="6"/>
        <v>100</v>
      </c>
      <c r="D111" s="2">
        <f t="shared" si="6"/>
        <v>3</v>
      </c>
      <c r="E111" s="2">
        <f t="shared" si="7"/>
        <v>296.5</v>
      </c>
      <c r="F111" s="2">
        <f t="shared" si="8"/>
        <v>51</v>
      </c>
      <c r="G111" s="2">
        <f t="shared" si="9"/>
        <v>245.5</v>
      </c>
      <c r="H111" s="2">
        <f t="shared" si="10"/>
        <v>60270.25</v>
      </c>
    </row>
    <row r="112" spans="1:8" x14ac:dyDescent="0.25">
      <c r="A112">
        <v>93</v>
      </c>
      <c r="B112">
        <v>39</v>
      </c>
      <c r="C112" s="2">
        <f t="shared" si="6"/>
        <v>93</v>
      </c>
      <c r="D112" s="2">
        <f t="shared" si="6"/>
        <v>39</v>
      </c>
      <c r="E112" s="2">
        <f t="shared" si="7"/>
        <v>264</v>
      </c>
      <c r="F112" s="2">
        <f t="shared" si="8"/>
        <v>283.5</v>
      </c>
      <c r="G112" s="2">
        <f t="shared" si="9"/>
        <v>-19.5</v>
      </c>
      <c r="H112" s="2">
        <f t="shared" si="10"/>
        <v>380.25</v>
      </c>
    </row>
    <row r="113" spans="1:8" x14ac:dyDescent="0.25">
      <c r="A113">
        <v>91.666666666666657</v>
      </c>
      <c r="B113">
        <v>19</v>
      </c>
      <c r="C113" s="2">
        <f t="shared" si="6"/>
        <v>91.666666666666657</v>
      </c>
      <c r="D113" s="2">
        <f t="shared" si="6"/>
        <v>19</v>
      </c>
      <c r="E113" s="2">
        <f t="shared" si="7"/>
        <v>256</v>
      </c>
      <c r="F113" s="2">
        <f t="shared" si="8"/>
        <v>231</v>
      </c>
      <c r="G113" s="2">
        <f t="shared" si="9"/>
        <v>25</v>
      </c>
      <c r="H113" s="2">
        <f t="shared" si="10"/>
        <v>625</v>
      </c>
    </row>
    <row r="114" spans="1:8" x14ac:dyDescent="0.25">
      <c r="A114">
        <v>100</v>
      </c>
      <c r="B114">
        <v>5</v>
      </c>
      <c r="C114" s="2">
        <f t="shared" si="6"/>
        <v>100</v>
      </c>
      <c r="D114" s="2">
        <f t="shared" si="6"/>
        <v>5</v>
      </c>
      <c r="E114" s="2">
        <f t="shared" si="7"/>
        <v>296.5</v>
      </c>
      <c r="F114" s="2">
        <f t="shared" si="8"/>
        <v>102</v>
      </c>
      <c r="G114" s="2">
        <f t="shared" si="9"/>
        <v>194.5</v>
      </c>
      <c r="H114" s="2">
        <f t="shared" si="10"/>
        <v>37830.25</v>
      </c>
    </row>
    <row r="115" spans="1:8" x14ac:dyDescent="0.25">
      <c r="A115">
        <v>33.333333333333329</v>
      </c>
      <c r="B115">
        <v>8</v>
      </c>
      <c r="C115" s="2">
        <f t="shared" si="6"/>
        <v>33.333333333333329</v>
      </c>
      <c r="D115" s="2">
        <f t="shared" si="6"/>
        <v>8</v>
      </c>
      <c r="E115" s="2">
        <f t="shared" si="7"/>
        <v>115</v>
      </c>
      <c r="F115" s="2">
        <f t="shared" si="8"/>
        <v>152.5</v>
      </c>
      <c r="G115" s="2">
        <f t="shared" si="9"/>
        <v>-37.5</v>
      </c>
      <c r="H115" s="2">
        <f t="shared" si="10"/>
        <v>1406.25</v>
      </c>
    </row>
    <row r="116" spans="1:8" x14ac:dyDescent="0.25">
      <c r="A116">
        <v>0</v>
      </c>
      <c r="B116">
        <v>5</v>
      </c>
      <c r="C116" s="2">
        <f t="shared" si="6"/>
        <v>0</v>
      </c>
      <c r="D116" s="2">
        <f t="shared" si="6"/>
        <v>5</v>
      </c>
      <c r="E116" s="2">
        <f t="shared" si="7"/>
        <v>40.5</v>
      </c>
      <c r="F116" s="2">
        <f t="shared" si="8"/>
        <v>102</v>
      </c>
      <c r="G116" s="2">
        <f t="shared" si="9"/>
        <v>-61.5</v>
      </c>
      <c r="H116" s="2">
        <f t="shared" si="10"/>
        <v>3782.25</v>
      </c>
    </row>
    <row r="117" spans="1:8" x14ac:dyDescent="0.25">
      <c r="A117">
        <v>100</v>
      </c>
      <c r="B117">
        <v>9</v>
      </c>
      <c r="C117" s="2">
        <f t="shared" si="6"/>
        <v>100</v>
      </c>
      <c r="D117" s="2">
        <f t="shared" si="6"/>
        <v>9</v>
      </c>
      <c r="E117" s="2">
        <f t="shared" si="7"/>
        <v>296.5</v>
      </c>
      <c r="F117" s="2">
        <f t="shared" si="8"/>
        <v>165</v>
      </c>
      <c r="G117" s="2">
        <f t="shared" si="9"/>
        <v>131.5</v>
      </c>
      <c r="H117" s="2">
        <f t="shared" si="10"/>
        <v>17292.25</v>
      </c>
    </row>
    <row r="118" spans="1:8" x14ac:dyDescent="0.25">
      <c r="A118">
        <v>69.230769230769226</v>
      </c>
      <c r="B118">
        <v>23</v>
      </c>
      <c r="C118" s="2">
        <f t="shared" si="6"/>
        <v>69.230769230769226</v>
      </c>
      <c r="D118" s="2">
        <f t="shared" si="6"/>
        <v>23</v>
      </c>
      <c r="E118" s="2">
        <f t="shared" si="7"/>
        <v>193</v>
      </c>
      <c r="F118" s="2">
        <f t="shared" si="8"/>
        <v>251.5</v>
      </c>
      <c r="G118" s="2">
        <f t="shared" si="9"/>
        <v>-58.5</v>
      </c>
      <c r="H118" s="2">
        <f t="shared" si="10"/>
        <v>3422.25</v>
      </c>
    </row>
    <row r="119" spans="1:8" x14ac:dyDescent="0.25">
      <c r="A119">
        <v>93.333333333333329</v>
      </c>
      <c r="B119">
        <v>9</v>
      </c>
      <c r="C119" s="2">
        <f t="shared" si="6"/>
        <v>93.333333333333329</v>
      </c>
      <c r="D119" s="2">
        <f t="shared" si="6"/>
        <v>9</v>
      </c>
      <c r="E119" s="2">
        <f t="shared" si="7"/>
        <v>265.5</v>
      </c>
      <c r="F119" s="2">
        <f t="shared" si="8"/>
        <v>165</v>
      </c>
      <c r="G119" s="2">
        <f t="shared" si="9"/>
        <v>100.5</v>
      </c>
      <c r="H119" s="2">
        <f t="shared" si="10"/>
        <v>10100.25</v>
      </c>
    </row>
    <row r="120" spans="1:8" x14ac:dyDescent="0.25">
      <c r="A120">
        <v>29.411764705882355</v>
      </c>
      <c r="B120">
        <v>9</v>
      </c>
      <c r="C120" s="2">
        <f t="shared" si="6"/>
        <v>29.411764705882355</v>
      </c>
      <c r="D120" s="2">
        <f t="shared" si="6"/>
        <v>9</v>
      </c>
      <c r="E120" s="2">
        <f t="shared" si="7"/>
        <v>102.5</v>
      </c>
      <c r="F120" s="2">
        <f t="shared" si="8"/>
        <v>165</v>
      </c>
      <c r="G120" s="2">
        <f t="shared" si="9"/>
        <v>-62.5</v>
      </c>
      <c r="H120" s="2">
        <f t="shared" si="10"/>
        <v>3906.25</v>
      </c>
    </row>
    <row r="121" spans="1:8" x14ac:dyDescent="0.25">
      <c r="A121">
        <v>36.363636363636367</v>
      </c>
      <c r="B121">
        <v>5</v>
      </c>
      <c r="C121" s="2">
        <f t="shared" si="6"/>
        <v>36.363636363636367</v>
      </c>
      <c r="D121" s="2">
        <f t="shared" si="6"/>
        <v>5</v>
      </c>
      <c r="E121" s="2">
        <f t="shared" si="7"/>
        <v>122</v>
      </c>
      <c r="F121" s="2">
        <f t="shared" si="8"/>
        <v>102</v>
      </c>
      <c r="G121" s="2">
        <f t="shared" si="9"/>
        <v>20</v>
      </c>
      <c r="H121" s="2">
        <f t="shared" si="10"/>
        <v>400</v>
      </c>
    </row>
    <row r="122" spans="1:8" x14ac:dyDescent="0.25">
      <c r="A122">
        <v>63.917525773195869</v>
      </c>
      <c r="B122">
        <v>91</v>
      </c>
      <c r="C122" s="2">
        <f t="shared" si="6"/>
        <v>63.917525773195869</v>
      </c>
      <c r="D122" s="2">
        <f t="shared" si="6"/>
        <v>91</v>
      </c>
      <c r="E122" s="2">
        <f t="shared" si="7"/>
        <v>177</v>
      </c>
      <c r="F122" s="2">
        <f t="shared" si="8"/>
        <v>308</v>
      </c>
      <c r="G122" s="2">
        <f t="shared" si="9"/>
        <v>-131</v>
      </c>
      <c r="H122" s="2">
        <f t="shared" si="10"/>
        <v>17161</v>
      </c>
    </row>
    <row r="123" spans="1:8" x14ac:dyDescent="0.25">
      <c r="A123">
        <v>100</v>
      </c>
      <c r="B123">
        <v>3</v>
      </c>
      <c r="C123" s="2">
        <f t="shared" si="6"/>
        <v>100</v>
      </c>
      <c r="D123" s="2">
        <f t="shared" si="6"/>
        <v>3</v>
      </c>
      <c r="E123" s="2">
        <f t="shared" si="7"/>
        <v>296.5</v>
      </c>
      <c r="F123" s="2">
        <f t="shared" si="8"/>
        <v>51</v>
      </c>
      <c r="G123" s="2">
        <f t="shared" si="9"/>
        <v>245.5</v>
      </c>
      <c r="H123" s="2">
        <f t="shared" si="10"/>
        <v>60270.25</v>
      </c>
    </row>
    <row r="124" spans="1:8" x14ac:dyDescent="0.25">
      <c r="A124">
        <v>50</v>
      </c>
      <c r="B124">
        <v>2</v>
      </c>
      <c r="C124" s="2">
        <f t="shared" si="6"/>
        <v>50</v>
      </c>
      <c r="D124" s="2">
        <f t="shared" si="6"/>
        <v>2</v>
      </c>
      <c r="E124" s="2">
        <f t="shared" si="7"/>
        <v>148.5</v>
      </c>
      <c r="F124" s="2">
        <f t="shared" si="8"/>
        <v>27</v>
      </c>
      <c r="G124" s="2">
        <f t="shared" si="9"/>
        <v>121.5</v>
      </c>
      <c r="H124" s="2">
        <f t="shared" si="10"/>
        <v>14762.25</v>
      </c>
    </row>
    <row r="125" spans="1:8" x14ac:dyDescent="0.25">
      <c r="A125">
        <v>92.10526315789474</v>
      </c>
      <c r="B125">
        <v>16</v>
      </c>
      <c r="C125" s="2">
        <f t="shared" si="6"/>
        <v>92.10526315789474</v>
      </c>
      <c r="D125" s="2">
        <f t="shared" si="6"/>
        <v>16</v>
      </c>
      <c r="E125" s="2">
        <f t="shared" si="7"/>
        <v>258</v>
      </c>
      <c r="F125" s="2">
        <f t="shared" si="8"/>
        <v>219</v>
      </c>
      <c r="G125" s="2">
        <f t="shared" si="9"/>
        <v>39</v>
      </c>
      <c r="H125" s="2">
        <f t="shared" si="10"/>
        <v>1521</v>
      </c>
    </row>
    <row r="126" spans="1:8" x14ac:dyDescent="0.25">
      <c r="A126">
        <v>0</v>
      </c>
      <c r="B126">
        <v>13</v>
      </c>
      <c r="C126" s="2">
        <f t="shared" si="6"/>
        <v>0</v>
      </c>
      <c r="D126" s="2">
        <f t="shared" si="6"/>
        <v>13</v>
      </c>
      <c r="E126" s="2">
        <f t="shared" si="7"/>
        <v>40.5</v>
      </c>
      <c r="F126" s="2">
        <f t="shared" si="8"/>
        <v>202.5</v>
      </c>
      <c r="G126" s="2">
        <f t="shared" si="9"/>
        <v>-162</v>
      </c>
      <c r="H126" s="2">
        <f t="shared" si="10"/>
        <v>26244</v>
      </c>
    </row>
    <row r="127" spans="1:8" x14ac:dyDescent="0.25">
      <c r="A127">
        <v>63.636363636363633</v>
      </c>
      <c r="B127">
        <v>6</v>
      </c>
      <c r="C127" s="2">
        <f t="shared" si="6"/>
        <v>63.636363636363633</v>
      </c>
      <c r="D127" s="2">
        <f t="shared" si="6"/>
        <v>6</v>
      </c>
      <c r="E127" s="2">
        <f t="shared" si="7"/>
        <v>176</v>
      </c>
      <c r="F127" s="2">
        <f t="shared" si="8"/>
        <v>119</v>
      </c>
      <c r="G127" s="2">
        <f t="shared" si="9"/>
        <v>57</v>
      </c>
      <c r="H127" s="2">
        <f t="shared" si="10"/>
        <v>3249</v>
      </c>
    </row>
    <row r="128" spans="1:8" x14ac:dyDescent="0.25">
      <c r="A128">
        <v>90.909090909090907</v>
      </c>
      <c r="B128">
        <v>51</v>
      </c>
      <c r="C128" s="2">
        <f t="shared" si="6"/>
        <v>90.909090909090907</v>
      </c>
      <c r="D128" s="2">
        <f t="shared" si="6"/>
        <v>51</v>
      </c>
      <c r="E128" s="2">
        <f t="shared" si="7"/>
        <v>253</v>
      </c>
      <c r="F128" s="2">
        <f t="shared" si="8"/>
        <v>294</v>
      </c>
      <c r="G128" s="2">
        <f t="shared" si="9"/>
        <v>-41</v>
      </c>
      <c r="H128" s="2">
        <f t="shared" si="10"/>
        <v>1681</v>
      </c>
    </row>
    <row r="129" spans="1:8" x14ac:dyDescent="0.25">
      <c r="A129">
        <v>100</v>
      </c>
      <c r="B129">
        <v>2</v>
      </c>
      <c r="C129" s="2">
        <f t="shared" si="6"/>
        <v>100</v>
      </c>
      <c r="D129" s="2">
        <f t="shared" si="6"/>
        <v>2</v>
      </c>
      <c r="E129" s="2">
        <f t="shared" si="7"/>
        <v>296.5</v>
      </c>
      <c r="F129" s="2">
        <f t="shared" si="8"/>
        <v>27</v>
      </c>
      <c r="G129" s="2">
        <f t="shared" si="9"/>
        <v>269.5</v>
      </c>
      <c r="H129" s="2">
        <f t="shared" si="10"/>
        <v>72630.25</v>
      </c>
    </row>
    <row r="130" spans="1:8" x14ac:dyDescent="0.25">
      <c r="A130">
        <v>62.5</v>
      </c>
      <c r="B130">
        <v>5</v>
      </c>
      <c r="C130" s="2">
        <f t="shared" si="6"/>
        <v>62.5</v>
      </c>
      <c r="D130" s="2">
        <f t="shared" si="6"/>
        <v>5</v>
      </c>
      <c r="E130" s="2">
        <f t="shared" si="7"/>
        <v>173</v>
      </c>
      <c r="F130" s="2">
        <f t="shared" si="8"/>
        <v>102</v>
      </c>
      <c r="G130" s="2">
        <f t="shared" si="9"/>
        <v>71</v>
      </c>
      <c r="H130" s="2">
        <f t="shared" si="10"/>
        <v>5041</v>
      </c>
    </row>
    <row r="131" spans="1:8" x14ac:dyDescent="0.25">
      <c r="A131">
        <v>100</v>
      </c>
      <c r="B131">
        <v>3</v>
      </c>
      <c r="C131" s="2">
        <f t="shared" ref="C131:D194" si="11">IF(AND($A131&lt;&gt;"",$B131&lt;&gt;""),A131,"")</f>
        <v>100</v>
      </c>
      <c r="D131" s="2">
        <f t="shared" si="11"/>
        <v>3</v>
      </c>
      <c r="E131" s="2">
        <f t="shared" ref="E131:E194" si="12">IF(C131="","",_xlfn.RANK.AVG(C131,C$2:C$1003,1))</f>
        <v>296.5</v>
      </c>
      <c r="F131" s="2">
        <f t="shared" ref="F131:F194" si="13">IF(D131="","",_xlfn.RANK.AVG(D131,D$2:D$1003,1))</f>
        <v>51</v>
      </c>
      <c r="G131" s="2">
        <f t="shared" ref="G131:G194" si="14">IF(C131="","",E131-F131)</f>
        <v>245.5</v>
      </c>
      <c r="H131" s="2">
        <f t="shared" ref="H131:H194" si="15">IF(C131="","",G131^2)</f>
        <v>60270.25</v>
      </c>
    </row>
    <row r="132" spans="1:8" x14ac:dyDescent="0.25">
      <c r="A132">
        <v>0</v>
      </c>
      <c r="B132">
        <v>1</v>
      </c>
      <c r="C132" s="2">
        <f t="shared" si="11"/>
        <v>0</v>
      </c>
      <c r="D132" s="2">
        <f t="shared" si="11"/>
        <v>1</v>
      </c>
      <c r="E132" s="2">
        <f t="shared" si="12"/>
        <v>40.5</v>
      </c>
      <c r="F132" s="2">
        <f t="shared" si="13"/>
        <v>9.5</v>
      </c>
      <c r="G132" s="2">
        <f t="shared" si="14"/>
        <v>31</v>
      </c>
      <c r="H132" s="2">
        <f t="shared" si="15"/>
        <v>961</v>
      </c>
    </row>
    <row r="133" spans="1:8" x14ac:dyDescent="0.25">
      <c r="A133">
        <v>100</v>
      </c>
      <c r="B133">
        <v>30</v>
      </c>
      <c r="C133" s="2">
        <f t="shared" si="11"/>
        <v>100</v>
      </c>
      <c r="D133" s="2">
        <f t="shared" si="11"/>
        <v>30</v>
      </c>
      <c r="E133" s="2">
        <f t="shared" si="12"/>
        <v>296.5</v>
      </c>
      <c r="F133" s="2">
        <f t="shared" si="13"/>
        <v>270</v>
      </c>
      <c r="G133" s="2">
        <f t="shared" si="14"/>
        <v>26.5</v>
      </c>
      <c r="H133" s="2">
        <f t="shared" si="15"/>
        <v>702.25</v>
      </c>
    </row>
    <row r="134" spans="1:8" x14ac:dyDescent="0.25">
      <c r="A134">
        <v>93.333333333333329</v>
      </c>
      <c r="B134">
        <v>9</v>
      </c>
      <c r="C134" s="2">
        <f t="shared" si="11"/>
        <v>93.333333333333329</v>
      </c>
      <c r="D134" s="2">
        <f t="shared" si="11"/>
        <v>9</v>
      </c>
      <c r="E134" s="2">
        <f t="shared" si="12"/>
        <v>265.5</v>
      </c>
      <c r="F134" s="2">
        <f t="shared" si="13"/>
        <v>165</v>
      </c>
      <c r="G134" s="2">
        <f t="shared" si="14"/>
        <v>100.5</v>
      </c>
      <c r="H134" s="2">
        <f t="shared" si="15"/>
        <v>10100.25</v>
      </c>
    </row>
    <row r="135" spans="1:8" x14ac:dyDescent="0.25">
      <c r="A135">
        <v>100</v>
      </c>
      <c r="B135">
        <v>4</v>
      </c>
      <c r="C135" s="2">
        <f t="shared" si="11"/>
        <v>100</v>
      </c>
      <c r="D135" s="2">
        <f t="shared" si="11"/>
        <v>4</v>
      </c>
      <c r="E135" s="2">
        <f t="shared" si="12"/>
        <v>296.5</v>
      </c>
      <c r="F135" s="2">
        <f t="shared" si="13"/>
        <v>80</v>
      </c>
      <c r="G135" s="2">
        <f t="shared" si="14"/>
        <v>216.5</v>
      </c>
      <c r="H135" s="2">
        <f t="shared" si="15"/>
        <v>46872.25</v>
      </c>
    </row>
    <row r="136" spans="1:8" x14ac:dyDescent="0.25">
      <c r="A136">
        <v>61.904761904761905</v>
      </c>
      <c r="B136">
        <v>14</v>
      </c>
      <c r="C136" s="2">
        <f t="shared" si="11"/>
        <v>61.904761904761905</v>
      </c>
      <c r="D136" s="2">
        <f t="shared" si="11"/>
        <v>14</v>
      </c>
      <c r="E136" s="2">
        <f t="shared" si="12"/>
        <v>172</v>
      </c>
      <c r="F136" s="2">
        <f t="shared" si="13"/>
        <v>209.5</v>
      </c>
      <c r="G136" s="2">
        <f t="shared" si="14"/>
        <v>-37.5</v>
      </c>
      <c r="H136" s="2">
        <f t="shared" si="15"/>
        <v>1406.25</v>
      </c>
    </row>
    <row r="137" spans="1:8" x14ac:dyDescent="0.25">
      <c r="A137">
        <v>100</v>
      </c>
      <c r="B137">
        <v>7</v>
      </c>
      <c r="C137" s="2">
        <f t="shared" si="11"/>
        <v>100</v>
      </c>
      <c r="D137" s="2">
        <f t="shared" si="11"/>
        <v>7</v>
      </c>
      <c r="E137" s="2">
        <f t="shared" si="12"/>
        <v>296.5</v>
      </c>
      <c r="F137" s="2">
        <f t="shared" si="13"/>
        <v>137.5</v>
      </c>
      <c r="G137" s="2">
        <f t="shared" si="14"/>
        <v>159</v>
      </c>
      <c r="H137" s="2">
        <f t="shared" si="15"/>
        <v>25281</v>
      </c>
    </row>
    <row r="138" spans="1:8" x14ac:dyDescent="0.25">
      <c r="A138">
        <v>0</v>
      </c>
      <c r="B138">
        <v>3</v>
      </c>
      <c r="C138" s="2">
        <f t="shared" si="11"/>
        <v>0</v>
      </c>
      <c r="D138" s="2">
        <f t="shared" si="11"/>
        <v>3</v>
      </c>
      <c r="E138" s="2">
        <f t="shared" si="12"/>
        <v>40.5</v>
      </c>
      <c r="F138" s="2">
        <f t="shared" si="13"/>
        <v>51</v>
      </c>
      <c r="G138" s="2">
        <f t="shared" si="14"/>
        <v>-10.5</v>
      </c>
      <c r="H138" s="2">
        <f t="shared" si="15"/>
        <v>110.25</v>
      </c>
    </row>
    <row r="139" spans="1:8" x14ac:dyDescent="0.25">
      <c r="A139">
        <v>84.269662921348313</v>
      </c>
      <c r="B139">
        <v>34</v>
      </c>
      <c r="C139" s="2">
        <f t="shared" si="11"/>
        <v>84.269662921348313</v>
      </c>
      <c r="D139" s="2">
        <f t="shared" si="11"/>
        <v>34</v>
      </c>
      <c r="E139" s="2">
        <f t="shared" si="12"/>
        <v>236</v>
      </c>
      <c r="F139" s="2">
        <f t="shared" si="13"/>
        <v>278</v>
      </c>
      <c r="G139" s="2">
        <f t="shared" si="14"/>
        <v>-42</v>
      </c>
      <c r="H139" s="2">
        <f t="shared" si="15"/>
        <v>1764</v>
      </c>
    </row>
    <row r="140" spans="1:8" x14ac:dyDescent="0.25">
      <c r="A140">
        <v>0</v>
      </c>
      <c r="B140">
        <v>9</v>
      </c>
      <c r="C140" s="2">
        <f t="shared" si="11"/>
        <v>0</v>
      </c>
      <c r="D140" s="2">
        <f t="shared" si="11"/>
        <v>9</v>
      </c>
      <c r="E140" s="2">
        <f t="shared" si="12"/>
        <v>40.5</v>
      </c>
      <c r="F140" s="2">
        <f t="shared" si="13"/>
        <v>165</v>
      </c>
      <c r="G140" s="2">
        <f t="shared" si="14"/>
        <v>-124.5</v>
      </c>
      <c r="H140" s="2">
        <f t="shared" si="15"/>
        <v>15500.25</v>
      </c>
    </row>
    <row r="141" spans="1:8" x14ac:dyDescent="0.25">
      <c r="A141">
        <v>75.471698113207552</v>
      </c>
      <c r="B141">
        <v>12</v>
      </c>
      <c r="C141" s="2">
        <f t="shared" si="11"/>
        <v>75.471698113207552</v>
      </c>
      <c r="D141" s="2">
        <f t="shared" si="11"/>
        <v>12</v>
      </c>
      <c r="E141" s="2">
        <f t="shared" si="12"/>
        <v>208</v>
      </c>
      <c r="F141" s="2">
        <f t="shared" si="13"/>
        <v>192.5</v>
      </c>
      <c r="G141" s="2">
        <f t="shared" si="14"/>
        <v>15.5</v>
      </c>
      <c r="H141" s="2">
        <f t="shared" si="15"/>
        <v>240.25</v>
      </c>
    </row>
    <row r="142" spans="1:8" x14ac:dyDescent="0.25">
      <c r="A142">
        <v>100</v>
      </c>
      <c r="B142">
        <v>1</v>
      </c>
      <c r="C142" s="2">
        <f t="shared" si="11"/>
        <v>100</v>
      </c>
      <c r="D142" s="2">
        <f t="shared" si="11"/>
        <v>1</v>
      </c>
      <c r="E142" s="2">
        <f t="shared" si="12"/>
        <v>296.5</v>
      </c>
      <c r="F142" s="2">
        <f t="shared" si="13"/>
        <v>9.5</v>
      </c>
      <c r="G142" s="2">
        <f t="shared" si="14"/>
        <v>287</v>
      </c>
      <c r="H142" s="2">
        <f t="shared" si="15"/>
        <v>82369</v>
      </c>
    </row>
    <row r="143" spans="1:8" x14ac:dyDescent="0.25">
      <c r="A143">
        <v>2.8571428571428572</v>
      </c>
      <c r="B143">
        <v>19</v>
      </c>
      <c r="C143" s="2">
        <f t="shared" si="11"/>
        <v>2.8571428571428572</v>
      </c>
      <c r="D143" s="2">
        <f t="shared" si="11"/>
        <v>19</v>
      </c>
      <c r="E143" s="2">
        <f t="shared" si="12"/>
        <v>82</v>
      </c>
      <c r="F143" s="2">
        <f t="shared" si="13"/>
        <v>231</v>
      </c>
      <c r="G143" s="2">
        <f t="shared" si="14"/>
        <v>-149</v>
      </c>
      <c r="H143" s="2">
        <f t="shared" si="15"/>
        <v>22201</v>
      </c>
    </row>
    <row r="144" spans="1:8" x14ac:dyDescent="0.25">
      <c r="A144">
        <v>57.142857142857139</v>
      </c>
      <c r="B144">
        <v>16</v>
      </c>
      <c r="C144" s="2">
        <f t="shared" si="11"/>
        <v>57.142857142857139</v>
      </c>
      <c r="D144" s="2">
        <f t="shared" si="11"/>
        <v>16</v>
      </c>
      <c r="E144" s="2">
        <f t="shared" si="12"/>
        <v>159.5</v>
      </c>
      <c r="F144" s="2">
        <f t="shared" si="13"/>
        <v>219</v>
      </c>
      <c r="G144" s="2">
        <f t="shared" si="14"/>
        <v>-59.5</v>
      </c>
      <c r="H144" s="2">
        <f t="shared" si="15"/>
        <v>3540.25</v>
      </c>
    </row>
    <row r="145" spans="1:8" x14ac:dyDescent="0.25">
      <c r="A145">
        <v>69.230769230769226</v>
      </c>
      <c r="B145">
        <v>13</v>
      </c>
      <c r="C145" s="2">
        <f t="shared" si="11"/>
        <v>69.230769230769226</v>
      </c>
      <c r="D145" s="2">
        <f t="shared" si="11"/>
        <v>13</v>
      </c>
      <c r="E145" s="2">
        <f t="shared" si="12"/>
        <v>193</v>
      </c>
      <c r="F145" s="2">
        <f t="shared" si="13"/>
        <v>202.5</v>
      </c>
      <c r="G145" s="2">
        <f t="shared" si="14"/>
        <v>-9.5</v>
      </c>
      <c r="H145" s="2">
        <f t="shared" si="15"/>
        <v>90.25</v>
      </c>
    </row>
    <row r="146" spans="1:8" x14ac:dyDescent="0.25">
      <c r="A146">
        <v>92.857142857142861</v>
      </c>
      <c r="B146">
        <v>5</v>
      </c>
      <c r="C146" s="2">
        <f t="shared" si="11"/>
        <v>92.857142857142861</v>
      </c>
      <c r="D146" s="2">
        <f t="shared" si="11"/>
        <v>5</v>
      </c>
      <c r="E146" s="2">
        <f t="shared" si="12"/>
        <v>262.5</v>
      </c>
      <c r="F146" s="2">
        <f t="shared" si="13"/>
        <v>102</v>
      </c>
      <c r="G146" s="2">
        <f t="shared" si="14"/>
        <v>160.5</v>
      </c>
      <c r="H146" s="2">
        <f t="shared" si="15"/>
        <v>25760.25</v>
      </c>
    </row>
    <row r="147" spans="1:8" x14ac:dyDescent="0.25">
      <c r="A147">
        <v>88.888888888888886</v>
      </c>
      <c r="B147">
        <v>7</v>
      </c>
      <c r="C147" s="2">
        <f t="shared" si="11"/>
        <v>88.888888888888886</v>
      </c>
      <c r="D147" s="2">
        <f t="shared" si="11"/>
        <v>7</v>
      </c>
      <c r="E147" s="2">
        <f t="shared" si="12"/>
        <v>250</v>
      </c>
      <c r="F147" s="2">
        <f t="shared" si="13"/>
        <v>137.5</v>
      </c>
      <c r="G147" s="2">
        <f t="shared" si="14"/>
        <v>112.5</v>
      </c>
      <c r="H147" s="2">
        <f t="shared" si="15"/>
        <v>12656.25</v>
      </c>
    </row>
    <row r="148" spans="1:8" x14ac:dyDescent="0.25">
      <c r="A148">
        <v>100</v>
      </c>
      <c r="B148">
        <v>7</v>
      </c>
      <c r="C148" s="2">
        <f t="shared" si="11"/>
        <v>100</v>
      </c>
      <c r="D148" s="2">
        <f t="shared" si="11"/>
        <v>7</v>
      </c>
      <c r="E148" s="2">
        <f t="shared" si="12"/>
        <v>296.5</v>
      </c>
      <c r="F148" s="2">
        <f t="shared" si="13"/>
        <v>137.5</v>
      </c>
      <c r="G148" s="2">
        <f t="shared" si="14"/>
        <v>159</v>
      </c>
      <c r="H148" s="2">
        <f t="shared" si="15"/>
        <v>25281</v>
      </c>
    </row>
    <row r="149" spans="1:8" x14ac:dyDescent="0.25">
      <c r="A149">
        <v>88.888888888888886</v>
      </c>
      <c r="B149">
        <v>7</v>
      </c>
      <c r="C149" s="2">
        <f t="shared" si="11"/>
        <v>88.888888888888886</v>
      </c>
      <c r="D149" s="2">
        <f t="shared" si="11"/>
        <v>7</v>
      </c>
      <c r="E149" s="2">
        <f t="shared" si="12"/>
        <v>250</v>
      </c>
      <c r="F149" s="2">
        <f t="shared" si="13"/>
        <v>137.5</v>
      </c>
      <c r="G149" s="2">
        <f t="shared" si="14"/>
        <v>112.5</v>
      </c>
      <c r="H149" s="2">
        <f t="shared" si="15"/>
        <v>12656.25</v>
      </c>
    </row>
    <row r="150" spans="1:8" x14ac:dyDescent="0.25">
      <c r="A150">
        <v>100</v>
      </c>
      <c r="B150">
        <v>7</v>
      </c>
      <c r="C150" s="2">
        <f t="shared" si="11"/>
        <v>100</v>
      </c>
      <c r="D150" s="2">
        <f t="shared" si="11"/>
        <v>7</v>
      </c>
      <c r="E150" s="2">
        <f t="shared" si="12"/>
        <v>296.5</v>
      </c>
      <c r="F150" s="2">
        <f t="shared" si="13"/>
        <v>137.5</v>
      </c>
      <c r="G150" s="2">
        <f t="shared" si="14"/>
        <v>159</v>
      </c>
      <c r="H150" s="2">
        <f t="shared" si="15"/>
        <v>25281</v>
      </c>
    </row>
    <row r="151" spans="1:8" x14ac:dyDescent="0.25">
      <c r="A151">
        <v>84.210526315789465</v>
      </c>
      <c r="B151">
        <v>14</v>
      </c>
      <c r="C151" s="2">
        <f t="shared" si="11"/>
        <v>84.210526315789465</v>
      </c>
      <c r="D151" s="2">
        <f t="shared" si="11"/>
        <v>14</v>
      </c>
      <c r="E151" s="2">
        <f t="shared" si="12"/>
        <v>235</v>
      </c>
      <c r="F151" s="2">
        <f t="shared" si="13"/>
        <v>209.5</v>
      </c>
      <c r="G151" s="2">
        <f t="shared" si="14"/>
        <v>25.5</v>
      </c>
      <c r="H151" s="2">
        <f t="shared" si="15"/>
        <v>650.25</v>
      </c>
    </row>
    <row r="152" spans="1:8" x14ac:dyDescent="0.25">
      <c r="A152">
        <v>65.625</v>
      </c>
      <c r="B152">
        <v>20</v>
      </c>
      <c r="C152" s="2">
        <f t="shared" si="11"/>
        <v>65.625</v>
      </c>
      <c r="D152" s="2">
        <f t="shared" si="11"/>
        <v>20</v>
      </c>
      <c r="E152" s="2">
        <f t="shared" si="12"/>
        <v>181</v>
      </c>
      <c r="F152" s="2">
        <f t="shared" si="13"/>
        <v>236.5</v>
      </c>
      <c r="G152" s="2">
        <f t="shared" si="14"/>
        <v>-55.5</v>
      </c>
      <c r="H152" s="2">
        <f t="shared" si="15"/>
        <v>3080.25</v>
      </c>
    </row>
    <row r="153" spans="1:8" x14ac:dyDescent="0.25">
      <c r="A153">
        <v>67.597765363128488</v>
      </c>
      <c r="B153">
        <v>48</v>
      </c>
      <c r="C153" s="2">
        <f t="shared" si="11"/>
        <v>67.597765363128488</v>
      </c>
      <c r="D153" s="2">
        <f t="shared" si="11"/>
        <v>48</v>
      </c>
      <c r="E153" s="2">
        <f t="shared" si="12"/>
        <v>187</v>
      </c>
      <c r="F153" s="2">
        <f t="shared" si="13"/>
        <v>292</v>
      </c>
      <c r="G153" s="2">
        <f t="shared" si="14"/>
        <v>-105</v>
      </c>
      <c r="H153" s="2">
        <f t="shared" si="15"/>
        <v>11025</v>
      </c>
    </row>
    <row r="154" spans="1:8" x14ac:dyDescent="0.25">
      <c r="A154">
        <v>33.333333333333329</v>
      </c>
      <c r="B154">
        <v>5</v>
      </c>
      <c r="C154" s="2">
        <f t="shared" si="11"/>
        <v>33.333333333333329</v>
      </c>
      <c r="D154" s="2">
        <f t="shared" si="11"/>
        <v>5</v>
      </c>
      <c r="E154" s="2">
        <f t="shared" si="12"/>
        <v>115</v>
      </c>
      <c r="F154" s="2">
        <f t="shared" si="13"/>
        <v>102</v>
      </c>
      <c r="G154" s="2">
        <f t="shared" si="14"/>
        <v>13</v>
      </c>
      <c r="H154" s="2">
        <f t="shared" si="15"/>
        <v>169</v>
      </c>
    </row>
    <row r="155" spans="1:8" x14ac:dyDescent="0.25">
      <c r="A155">
        <v>100</v>
      </c>
      <c r="B155">
        <v>4</v>
      </c>
      <c r="C155" s="2">
        <f t="shared" si="11"/>
        <v>100</v>
      </c>
      <c r="D155" s="2">
        <f t="shared" si="11"/>
        <v>4</v>
      </c>
      <c r="E155" s="2">
        <f t="shared" si="12"/>
        <v>296.5</v>
      </c>
      <c r="F155" s="2">
        <f t="shared" si="13"/>
        <v>80</v>
      </c>
      <c r="G155" s="2">
        <f t="shared" si="14"/>
        <v>216.5</v>
      </c>
      <c r="H155" s="2">
        <f t="shared" si="15"/>
        <v>46872.25</v>
      </c>
    </row>
    <row r="156" spans="1:8" x14ac:dyDescent="0.25">
      <c r="A156">
        <v>18.181818181818183</v>
      </c>
      <c r="B156">
        <v>4</v>
      </c>
      <c r="C156" s="2">
        <f t="shared" si="11"/>
        <v>18.181818181818183</v>
      </c>
      <c r="D156" s="2">
        <f t="shared" si="11"/>
        <v>4</v>
      </c>
      <c r="E156" s="2">
        <f t="shared" si="12"/>
        <v>92</v>
      </c>
      <c r="F156" s="2">
        <f t="shared" si="13"/>
        <v>80</v>
      </c>
      <c r="G156" s="2">
        <f t="shared" si="14"/>
        <v>12</v>
      </c>
      <c r="H156" s="2">
        <f t="shared" si="15"/>
        <v>144</v>
      </c>
    </row>
    <row r="157" spans="1:8" x14ac:dyDescent="0.25">
      <c r="A157">
        <v>80.851063829787222</v>
      </c>
      <c r="B157">
        <v>14</v>
      </c>
      <c r="C157" s="2">
        <f t="shared" si="11"/>
        <v>80.851063829787222</v>
      </c>
      <c r="D157" s="2">
        <f t="shared" si="11"/>
        <v>14</v>
      </c>
      <c r="E157" s="2">
        <f t="shared" si="12"/>
        <v>226</v>
      </c>
      <c r="F157" s="2">
        <f t="shared" si="13"/>
        <v>209.5</v>
      </c>
      <c r="G157" s="2">
        <f t="shared" si="14"/>
        <v>16.5</v>
      </c>
      <c r="H157" s="2">
        <f t="shared" si="15"/>
        <v>272.25</v>
      </c>
    </row>
    <row r="158" spans="1:8" x14ac:dyDescent="0.25">
      <c r="A158">
        <v>0</v>
      </c>
      <c r="B158">
        <v>7</v>
      </c>
      <c r="C158" s="2">
        <f t="shared" si="11"/>
        <v>0</v>
      </c>
      <c r="D158" s="2">
        <f t="shared" si="11"/>
        <v>7</v>
      </c>
      <c r="E158" s="2">
        <f t="shared" si="12"/>
        <v>40.5</v>
      </c>
      <c r="F158" s="2">
        <f t="shared" si="13"/>
        <v>137.5</v>
      </c>
      <c r="G158" s="2">
        <f t="shared" si="14"/>
        <v>-97</v>
      </c>
      <c r="H158" s="2">
        <f t="shared" si="15"/>
        <v>9409</v>
      </c>
    </row>
    <row r="159" spans="1:8" x14ac:dyDescent="0.25">
      <c r="A159">
        <v>60.344827586206897</v>
      </c>
      <c r="B159">
        <v>33</v>
      </c>
      <c r="C159" s="2">
        <f t="shared" si="11"/>
        <v>60.344827586206897</v>
      </c>
      <c r="D159" s="2">
        <f t="shared" si="11"/>
        <v>33</v>
      </c>
      <c r="E159" s="2">
        <f t="shared" si="12"/>
        <v>170</v>
      </c>
      <c r="F159" s="2">
        <f t="shared" si="13"/>
        <v>276.5</v>
      </c>
      <c r="G159" s="2">
        <f t="shared" si="14"/>
        <v>-106.5</v>
      </c>
      <c r="H159" s="2">
        <f t="shared" si="15"/>
        <v>11342.25</v>
      </c>
    </row>
    <row r="160" spans="1:8" x14ac:dyDescent="0.25">
      <c r="A160">
        <v>100</v>
      </c>
      <c r="B160">
        <v>6</v>
      </c>
      <c r="C160" s="2">
        <f t="shared" si="11"/>
        <v>100</v>
      </c>
      <c r="D160" s="2">
        <f t="shared" si="11"/>
        <v>6</v>
      </c>
      <c r="E160" s="2">
        <f t="shared" si="12"/>
        <v>296.5</v>
      </c>
      <c r="F160" s="2">
        <f t="shared" si="13"/>
        <v>119</v>
      </c>
      <c r="G160" s="2">
        <f t="shared" si="14"/>
        <v>177.5</v>
      </c>
      <c r="H160" s="2">
        <f t="shared" si="15"/>
        <v>31506.25</v>
      </c>
    </row>
    <row r="161" spans="1:8" x14ac:dyDescent="0.25">
      <c r="A161">
        <v>78.125</v>
      </c>
      <c r="B161">
        <v>42</v>
      </c>
      <c r="C161" s="2">
        <f t="shared" si="11"/>
        <v>78.125</v>
      </c>
      <c r="D161" s="2">
        <f t="shared" si="11"/>
        <v>42</v>
      </c>
      <c r="E161" s="2">
        <f t="shared" si="12"/>
        <v>215</v>
      </c>
      <c r="F161" s="2">
        <f t="shared" si="13"/>
        <v>286</v>
      </c>
      <c r="G161" s="2">
        <f t="shared" si="14"/>
        <v>-71</v>
      </c>
      <c r="H161" s="2">
        <f t="shared" si="15"/>
        <v>5041</v>
      </c>
    </row>
    <row r="162" spans="1:8" x14ac:dyDescent="0.25">
      <c r="A162">
        <v>100</v>
      </c>
      <c r="B162">
        <v>1</v>
      </c>
      <c r="C162" s="2">
        <f t="shared" si="11"/>
        <v>100</v>
      </c>
      <c r="D162" s="2">
        <f t="shared" si="11"/>
        <v>1</v>
      </c>
      <c r="E162" s="2">
        <f t="shared" si="12"/>
        <v>296.5</v>
      </c>
      <c r="F162" s="2">
        <f t="shared" si="13"/>
        <v>9.5</v>
      </c>
      <c r="G162" s="2">
        <f t="shared" si="14"/>
        <v>287</v>
      </c>
      <c r="H162" s="2">
        <f t="shared" si="15"/>
        <v>82369</v>
      </c>
    </row>
    <row r="163" spans="1:8" x14ac:dyDescent="0.25">
      <c r="A163">
        <v>85.714285714285708</v>
      </c>
      <c r="B163">
        <v>45</v>
      </c>
      <c r="C163" s="2">
        <f t="shared" si="11"/>
        <v>85.714285714285708</v>
      </c>
      <c r="D163" s="2">
        <f t="shared" si="11"/>
        <v>45</v>
      </c>
      <c r="E163" s="2">
        <f t="shared" si="12"/>
        <v>240.5</v>
      </c>
      <c r="F163" s="2">
        <f t="shared" si="13"/>
        <v>288</v>
      </c>
      <c r="G163" s="2">
        <f t="shared" si="14"/>
        <v>-47.5</v>
      </c>
      <c r="H163" s="2">
        <f t="shared" si="15"/>
        <v>2256.25</v>
      </c>
    </row>
    <row r="164" spans="1:8" x14ac:dyDescent="0.25">
      <c r="A164">
        <v>80</v>
      </c>
      <c r="B164">
        <v>3</v>
      </c>
      <c r="C164" s="2">
        <f t="shared" si="11"/>
        <v>80</v>
      </c>
      <c r="D164" s="2">
        <f t="shared" si="11"/>
        <v>3</v>
      </c>
      <c r="E164" s="2">
        <f t="shared" si="12"/>
        <v>220</v>
      </c>
      <c r="F164" s="2">
        <f t="shared" si="13"/>
        <v>51</v>
      </c>
      <c r="G164" s="2">
        <f t="shared" si="14"/>
        <v>169</v>
      </c>
      <c r="H164" s="2">
        <f t="shared" si="15"/>
        <v>28561</v>
      </c>
    </row>
    <row r="165" spans="1:8" x14ac:dyDescent="0.25">
      <c r="A165">
        <v>33.333333333333329</v>
      </c>
      <c r="B165">
        <v>3</v>
      </c>
      <c r="C165" s="2">
        <f t="shared" si="11"/>
        <v>33.333333333333329</v>
      </c>
      <c r="D165" s="2">
        <f t="shared" si="11"/>
        <v>3</v>
      </c>
      <c r="E165" s="2">
        <f t="shared" si="12"/>
        <v>115</v>
      </c>
      <c r="F165" s="2">
        <f t="shared" si="13"/>
        <v>51</v>
      </c>
      <c r="G165" s="2">
        <f t="shared" si="14"/>
        <v>64</v>
      </c>
      <c r="H165" s="2">
        <f t="shared" si="15"/>
        <v>4096</v>
      </c>
    </row>
    <row r="166" spans="1:8" x14ac:dyDescent="0.25">
      <c r="A166">
        <v>80</v>
      </c>
      <c r="B166">
        <v>5</v>
      </c>
      <c r="C166" s="2">
        <f t="shared" si="11"/>
        <v>80</v>
      </c>
      <c r="D166" s="2">
        <f t="shared" si="11"/>
        <v>5</v>
      </c>
      <c r="E166" s="2">
        <f t="shared" si="12"/>
        <v>220</v>
      </c>
      <c r="F166" s="2">
        <f t="shared" si="13"/>
        <v>102</v>
      </c>
      <c r="G166" s="2">
        <f t="shared" si="14"/>
        <v>118</v>
      </c>
      <c r="H166" s="2">
        <f t="shared" si="15"/>
        <v>13924</v>
      </c>
    </row>
    <row r="167" spans="1:8" x14ac:dyDescent="0.25">
      <c r="A167">
        <v>54.838709677419352</v>
      </c>
      <c r="B167">
        <v>14</v>
      </c>
      <c r="C167" s="2">
        <f t="shared" si="11"/>
        <v>54.838709677419352</v>
      </c>
      <c r="D167" s="2">
        <f t="shared" si="11"/>
        <v>14</v>
      </c>
      <c r="E167" s="2">
        <f t="shared" si="12"/>
        <v>158</v>
      </c>
      <c r="F167" s="2">
        <f t="shared" si="13"/>
        <v>209.5</v>
      </c>
      <c r="G167" s="2">
        <f t="shared" si="14"/>
        <v>-51.5</v>
      </c>
      <c r="H167" s="2">
        <f t="shared" si="15"/>
        <v>2652.25</v>
      </c>
    </row>
    <row r="168" spans="1:8" x14ac:dyDescent="0.25">
      <c r="A168">
        <v>65</v>
      </c>
      <c r="B168">
        <v>11</v>
      </c>
      <c r="C168" s="2">
        <f t="shared" si="11"/>
        <v>65</v>
      </c>
      <c r="D168" s="2">
        <f t="shared" si="11"/>
        <v>11</v>
      </c>
      <c r="E168" s="2">
        <f t="shared" si="12"/>
        <v>179</v>
      </c>
      <c r="F168" s="2">
        <f t="shared" si="13"/>
        <v>182</v>
      </c>
      <c r="G168" s="2">
        <f t="shared" si="14"/>
        <v>-3</v>
      </c>
      <c r="H168" s="2">
        <f t="shared" si="15"/>
        <v>9</v>
      </c>
    </row>
    <row r="169" spans="1:8" x14ac:dyDescent="0.25">
      <c r="A169">
        <v>83.333333333333343</v>
      </c>
      <c r="B169">
        <v>4</v>
      </c>
      <c r="C169" s="2">
        <f t="shared" si="11"/>
        <v>83.333333333333343</v>
      </c>
      <c r="D169" s="2">
        <f t="shared" si="11"/>
        <v>4</v>
      </c>
      <c r="E169" s="2">
        <f t="shared" si="12"/>
        <v>233</v>
      </c>
      <c r="F169" s="2">
        <f t="shared" si="13"/>
        <v>80</v>
      </c>
      <c r="G169" s="2">
        <f t="shared" si="14"/>
        <v>153</v>
      </c>
      <c r="H169" s="2">
        <f t="shared" si="15"/>
        <v>23409</v>
      </c>
    </row>
    <row r="170" spans="1:8" x14ac:dyDescent="0.25">
      <c r="A170">
        <v>92.857142857142861</v>
      </c>
      <c r="B170">
        <v>6</v>
      </c>
      <c r="C170" s="2">
        <f t="shared" si="11"/>
        <v>92.857142857142861</v>
      </c>
      <c r="D170" s="2">
        <f t="shared" si="11"/>
        <v>6</v>
      </c>
      <c r="E170" s="2">
        <f t="shared" si="12"/>
        <v>262.5</v>
      </c>
      <c r="F170" s="2">
        <f t="shared" si="13"/>
        <v>119</v>
      </c>
      <c r="G170" s="2">
        <f t="shared" si="14"/>
        <v>143.5</v>
      </c>
      <c r="H170" s="2">
        <f t="shared" si="15"/>
        <v>20592.25</v>
      </c>
    </row>
    <row r="171" spans="1:8" x14ac:dyDescent="0.25">
      <c r="A171">
        <v>100</v>
      </c>
      <c r="B171">
        <v>8</v>
      </c>
      <c r="C171" s="2">
        <f t="shared" si="11"/>
        <v>100</v>
      </c>
      <c r="D171" s="2">
        <f t="shared" si="11"/>
        <v>8</v>
      </c>
      <c r="E171" s="2">
        <f t="shared" si="12"/>
        <v>296.5</v>
      </c>
      <c r="F171" s="2">
        <f t="shared" si="13"/>
        <v>152.5</v>
      </c>
      <c r="G171" s="2">
        <f t="shared" si="14"/>
        <v>144</v>
      </c>
      <c r="H171" s="2">
        <f t="shared" si="15"/>
        <v>20736</v>
      </c>
    </row>
    <row r="172" spans="1:8" x14ac:dyDescent="0.25">
      <c r="A172">
        <v>91.666666666666657</v>
      </c>
      <c r="B172">
        <v>11</v>
      </c>
      <c r="C172" s="2">
        <f t="shared" si="11"/>
        <v>91.666666666666657</v>
      </c>
      <c r="D172" s="2">
        <f t="shared" si="11"/>
        <v>11</v>
      </c>
      <c r="E172" s="2">
        <f t="shared" si="12"/>
        <v>256</v>
      </c>
      <c r="F172" s="2">
        <f t="shared" si="13"/>
        <v>182</v>
      </c>
      <c r="G172" s="2">
        <f t="shared" si="14"/>
        <v>74</v>
      </c>
      <c r="H172" s="2">
        <f t="shared" si="15"/>
        <v>5476</v>
      </c>
    </row>
    <row r="173" spans="1:8" x14ac:dyDescent="0.25">
      <c r="A173">
        <v>68.627450980392155</v>
      </c>
      <c r="B173">
        <v>24</v>
      </c>
      <c r="C173" s="2">
        <f t="shared" si="11"/>
        <v>68.627450980392155</v>
      </c>
      <c r="D173" s="2">
        <f t="shared" si="11"/>
        <v>24</v>
      </c>
      <c r="E173" s="2">
        <f t="shared" si="12"/>
        <v>188</v>
      </c>
      <c r="F173" s="2">
        <f t="shared" si="13"/>
        <v>256.5</v>
      </c>
      <c r="G173" s="2">
        <f t="shared" si="14"/>
        <v>-68.5</v>
      </c>
      <c r="H173" s="2">
        <f t="shared" si="15"/>
        <v>4692.25</v>
      </c>
    </row>
    <row r="174" spans="1:8" x14ac:dyDescent="0.25">
      <c r="A174">
        <v>63.157894736842103</v>
      </c>
      <c r="B174">
        <v>14</v>
      </c>
      <c r="C174" s="2">
        <f t="shared" si="11"/>
        <v>63.157894736842103</v>
      </c>
      <c r="D174" s="2">
        <f t="shared" si="11"/>
        <v>14</v>
      </c>
      <c r="E174" s="2">
        <f t="shared" si="12"/>
        <v>174</v>
      </c>
      <c r="F174" s="2">
        <f t="shared" si="13"/>
        <v>209.5</v>
      </c>
      <c r="G174" s="2">
        <f t="shared" si="14"/>
        <v>-35.5</v>
      </c>
      <c r="H174" s="2">
        <f t="shared" si="15"/>
        <v>1260.25</v>
      </c>
    </row>
    <row r="175" spans="1:8" x14ac:dyDescent="0.25">
      <c r="A175">
        <v>100</v>
      </c>
      <c r="B175">
        <v>25</v>
      </c>
      <c r="C175" s="2">
        <f t="shared" si="11"/>
        <v>100</v>
      </c>
      <c r="D175" s="2">
        <f t="shared" si="11"/>
        <v>25</v>
      </c>
      <c r="E175" s="2">
        <f t="shared" si="12"/>
        <v>296.5</v>
      </c>
      <c r="F175" s="2">
        <f t="shared" si="13"/>
        <v>259</v>
      </c>
      <c r="G175" s="2">
        <f t="shared" si="14"/>
        <v>37.5</v>
      </c>
      <c r="H175" s="2">
        <f t="shared" si="15"/>
        <v>1406.25</v>
      </c>
    </row>
    <row r="176" spans="1:8" x14ac:dyDescent="0.25">
      <c r="A176">
        <v>84.05797101449275</v>
      </c>
      <c r="B176">
        <v>36</v>
      </c>
      <c r="C176" s="2">
        <f t="shared" si="11"/>
        <v>84.05797101449275</v>
      </c>
      <c r="D176" s="2">
        <f t="shared" si="11"/>
        <v>36</v>
      </c>
      <c r="E176" s="2">
        <f t="shared" si="12"/>
        <v>234</v>
      </c>
      <c r="F176" s="2">
        <f t="shared" si="13"/>
        <v>279</v>
      </c>
      <c r="G176" s="2">
        <f t="shared" si="14"/>
        <v>-45</v>
      </c>
      <c r="H176" s="2">
        <f t="shared" si="15"/>
        <v>2025</v>
      </c>
    </row>
    <row r="177" spans="1:8" x14ac:dyDescent="0.25">
      <c r="A177">
        <v>100</v>
      </c>
      <c r="B177">
        <v>3</v>
      </c>
      <c r="C177" s="2">
        <f t="shared" si="11"/>
        <v>100</v>
      </c>
      <c r="D177" s="2">
        <f t="shared" si="11"/>
        <v>3</v>
      </c>
      <c r="E177" s="2">
        <f t="shared" si="12"/>
        <v>296.5</v>
      </c>
      <c r="F177" s="2">
        <f t="shared" si="13"/>
        <v>51</v>
      </c>
      <c r="G177" s="2">
        <f t="shared" si="14"/>
        <v>245.5</v>
      </c>
      <c r="H177" s="2">
        <f t="shared" si="15"/>
        <v>60270.25</v>
      </c>
    </row>
    <row r="178" spans="1:8" x14ac:dyDescent="0.25">
      <c r="A178">
        <v>52.777777777777779</v>
      </c>
      <c r="B178">
        <v>26</v>
      </c>
      <c r="C178" s="2">
        <f t="shared" si="11"/>
        <v>52.777777777777779</v>
      </c>
      <c r="D178" s="2">
        <f t="shared" si="11"/>
        <v>26</v>
      </c>
      <c r="E178" s="2">
        <f t="shared" si="12"/>
        <v>156</v>
      </c>
      <c r="F178" s="2">
        <f t="shared" si="13"/>
        <v>261</v>
      </c>
      <c r="G178" s="2">
        <f t="shared" si="14"/>
        <v>-105</v>
      </c>
      <c r="H178" s="2">
        <f t="shared" si="15"/>
        <v>11025</v>
      </c>
    </row>
    <row r="179" spans="1:8" x14ac:dyDescent="0.25">
      <c r="A179">
        <v>86.111111111111114</v>
      </c>
      <c r="B179">
        <v>22</v>
      </c>
      <c r="C179" s="2">
        <f t="shared" si="11"/>
        <v>86.111111111111114</v>
      </c>
      <c r="D179" s="2">
        <f t="shared" si="11"/>
        <v>22</v>
      </c>
      <c r="E179" s="2">
        <f t="shared" si="12"/>
        <v>242</v>
      </c>
      <c r="F179" s="2">
        <f t="shared" si="13"/>
        <v>246.5</v>
      </c>
      <c r="G179" s="2">
        <f t="shared" si="14"/>
        <v>-4.5</v>
      </c>
      <c r="H179" s="2">
        <f t="shared" si="15"/>
        <v>20.25</v>
      </c>
    </row>
    <row r="180" spans="1:8" x14ac:dyDescent="0.25">
      <c r="A180">
        <v>0</v>
      </c>
      <c r="B180">
        <v>3</v>
      </c>
      <c r="C180" s="2">
        <f t="shared" si="11"/>
        <v>0</v>
      </c>
      <c r="D180" s="2">
        <f t="shared" si="11"/>
        <v>3</v>
      </c>
      <c r="E180" s="2">
        <f t="shared" si="12"/>
        <v>40.5</v>
      </c>
      <c r="F180" s="2">
        <f t="shared" si="13"/>
        <v>51</v>
      </c>
      <c r="G180" s="2">
        <f t="shared" si="14"/>
        <v>-10.5</v>
      </c>
      <c r="H180" s="2">
        <f t="shared" si="15"/>
        <v>110.25</v>
      </c>
    </row>
    <row r="181" spans="1:8" x14ac:dyDescent="0.25">
      <c r="A181">
        <v>0</v>
      </c>
      <c r="B181">
        <v>6</v>
      </c>
      <c r="C181" s="2">
        <f t="shared" si="11"/>
        <v>0</v>
      </c>
      <c r="D181" s="2">
        <f t="shared" si="11"/>
        <v>6</v>
      </c>
      <c r="E181" s="2">
        <f t="shared" si="12"/>
        <v>40.5</v>
      </c>
      <c r="F181" s="2">
        <f t="shared" si="13"/>
        <v>119</v>
      </c>
      <c r="G181" s="2">
        <f t="shared" si="14"/>
        <v>-78.5</v>
      </c>
      <c r="H181" s="2">
        <f t="shared" si="15"/>
        <v>6162.25</v>
      </c>
    </row>
    <row r="182" spans="1:8" x14ac:dyDescent="0.25">
      <c r="A182">
        <v>77.777777777777786</v>
      </c>
      <c r="B182">
        <v>9</v>
      </c>
      <c r="C182" s="2">
        <f t="shared" si="11"/>
        <v>77.777777777777786</v>
      </c>
      <c r="D182" s="2">
        <f t="shared" si="11"/>
        <v>9</v>
      </c>
      <c r="E182" s="2">
        <f t="shared" si="12"/>
        <v>213.5</v>
      </c>
      <c r="F182" s="2">
        <f t="shared" si="13"/>
        <v>165</v>
      </c>
      <c r="G182" s="2">
        <f t="shared" si="14"/>
        <v>48.5</v>
      </c>
      <c r="H182" s="2">
        <f t="shared" si="15"/>
        <v>2352.25</v>
      </c>
    </row>
    <row r="183" spans="1:8" x14ac:dyDescent="0.25">
      <c r="A183">
        <v>60</v>
      </c>
      <c r="B183">
        <v>4</v>
      </c>
      <c r="C183" s="2">
        <f t="shared" si="11"/>
        <v>60</v>
      </c>
      <c r="D183" s="2">
        <f t="shared" si="11"/>
        <v>4</v>
      </c>
      <c r="E183" s="2">
        <f t="shared" si="12"/>
        <v>167.5</v>
      </c>
      <c r="F183" s="2">
        <f t="shared" si="13"/>
        <v>80</v>
      </c>
      <c r="G183" s="2">
        <f t="shared" si="14"/>
        <v>87.5</v>
      </c>
      <c r="H183" s="2">
        <f t="shared" si="15"/>
        <v>7656.25</v>
      </c>
    </row>
    <row r="184" spans="1:8" x14ac:dyDescent="0.25">
      <c r="A184">
        <v>40.476190476190474</v>
      </c>
      <c r="B184">
        <v>21</v>
      </c>
      <c r="C184" s="2">
        <f t="shared" si="11"/>
        <v>40.476190476190474</v>
      </c>
      <c r="D184" s="2">
        <f t="shared" si="11"/>
        <v>21</v>
      </c>
      <c r="E184" s="2">
        <f t="shared" si="12"/>
        <v>129</v>
      </c>
      <c r="F184" s="2">
        <f t="shared" si="13"/>
        <v>242</v>
      </c>
      <c r="G184" s="2">
        <f t="shared" si="14"/>
        <v>-113</v>
      </c>
      <c r="H184" s="2">
        <f t="shared" si="15"/>
        <v>12769</v>
      </c>
    </row>
    <row r="185" spans="1:8" x14ac:dyDescent="0.25">
      <c r="A185">
        <v>61.53846153846154</v>
      </c>
      <c r="B185">
        <v>20</v>
      </c>
      <c r="C185" s="2">
        <f t="shared" si="11"/>
        <v>61.53846153846154</v>
      </c>
      <c r="D185" s="2">
        <f t="shared" si="11"/>
        <v>20</v>
      </c>
      <c r="E185" s="2">
        <f t="shared" si="12"/>
        <v>171</v>
      </c>
      <c r="F185" s="2">
        <f t="shared" si="13"/>
        <v>236.5</v>
      </c>
      <c r="G185" s="2">
        <f t="shared" si="14"/>
        <v>-65.5</v>
      </c>
      <c r="H185" s="2">
        <f t="shared" si="15"/>
        <v>4290.25</v>
      </c>
    </row>
    <row r="186" spans="1:8" x14ac:dyDescent="0.25">
      <c r="A186">
        <v>75</v>
      </c>
      <c r="B186">
        <v>4</v>
      </c>
      <c r="C186" s="2">
        <f t="shared" si="11"/>
        <v>75</v>
      </c>
      <c r="D186" s="2">
        <f t="shared" si="11"/>
        <v>4</v>
      </c>
      <c r="E186" s="2">
        <f t="shared" si="12"/>
        <v>206</v>
      </c>
      <c r="F186" s="2">
        <f t="shared" si="13"/>
        <v>80</v>
      </c>
      <c r="G186" s="2">
        <f t="shared" si="14"/>
        <v>126</v>
      </c>
      <c r="H186" s="2">
        <f t="shared" si="15"/>
        <v>15876</v>
      </c>
    </row>
    <row r="187" spans="1:8" x14ac:dyDescent="0.25">
      <c r="A187">
        <v>77.272727272727266</v>
      </c>
      <c r="B187">
        <v>22</v>
      </c>
      <c r="C187" s="2">
        <f t="shared" si="11"/>
        <v>77.272727272727266</v>
      </c>
      <c r="D187" s="2">
        <f t="shared" si="11"/>
        <v>22</v>
      </c>
      <c r="E187" s="2">
        <f t="shared" si="12"/>
        <v>211.5</v>
      </c>
      <c r="F187" s="2">
        <f t="shared" si="13"/>
        <v>246.5</v>
      </c>
      <c r="G187" s="2">
        <f t="shared" si="14"/>
        <v>-35</v>
      </c>
      <c r="H187" s="2">
        <f t="shared" si="15"/>
        <v>1225</v>
      </c>
    </row>
    <row r="188" spans="1:8" x14ac:dyDescent="0.25">
      <c r="A188">
        <v>76.470588235294116</v>
      </c>
      <c r="B188">
        <v>12</v>
      </c>
      <c r="C188" s="2">
        <f t="shared" si="11"/>
        <v>76.470588235294116</v>
      </c>
      <c r="D188" s="2">
        <f t="shared" si="11"/>
        <v>12</v>
      </c>
      <c r="E188" s="2">
        <f t="shared" si="12"/>
        <v>210</v>
      </c>
      <c r="F188" s="2">
        <f t="shared" si="13"/>
        <v>192.5</v>
      </c>
      <c r="G188" s="2">
        <f t="shared" si="14"/>
        <v>17.5</v>
      </c>
      <c r="H188" s="2">
        <f t="shared" si="15"/>
        <v>306.25</v>
      </c>
    </row>
    <row r="189" spans="1:8" x14ac:dyDescent="0.25">
      <c r="A189">
        <v>59.090909090909093</v>
      </c>
      <c r="B189">
        <v>10</v>
      </c>
      <c r="C189" s="2">
        <f t="shared" si="11"/>
        <v>59.090909090909093</v>
      </c>
      <c r="D189" s="2">
        <f t="shared" si="11"/>
        <v>10</v>
      </c>
      <c r="E189" s="2">
        <f t="shared" si="12"/>
        <v>164</v>
      </c>
      <c r="F189" s="2">
        <f t="shared" si="13"/>
        <v>175</v>
      </c>
      <c r="G189" s="2">
        <f t="shared" si="14"/>
        <v>-11</v>
      </c>
      <c r="H189" s="2">
        <f t="shared" si="15"/>
        <v>121</v>
      </c>
    </row>
    <row r="190" spans="1:8" x14ac:dyDescent="0.25">
      <c r="A190">
        <v>80.769230769230774</v>
      </c>
      <c r="B190">
        <v>24</v>
      </c>
      <c r="C190" s="2">
        <f t="shared" si="11"/>
        <v>80.769230769230774</v>
      </c>
      <c r="D190" s="2">
        <f t="shared" si="11"/>
        <v>24</v>
      </c>
      <c r="E190" s="2">
        <f t="shared" si="12"/>
        <v>225</v>
      </c>
      <c r="F190" s="2">
        <f t="shared" si="13"/>
        <v>256.5</v>
      </c>
      <c r="G190" s="2">
        <f t="shared" si="14"/>
        <v>-31.5</v>
      </c>
      <c r="H190" s="2">
        <f t="shared" si="15"/>
        <v>992.25</v>
      </c>
    </row>
    <row r="191" spans="1:8" x14ac:dyDescent="0.25">
      <c r="A191">
        <v>29.629629629629626</v>
      </c>
      <c r="B191">
        <v>30</v>
      </c>
      <c r="C191" s="2">
        <f t="shared" si="11"/>
        <v>29.629629629629626</v>
      </c>
      <c r="D191" s="2">
        <f t="shared" si="11"/>
        <v>30</v>
      </c>
      <c r="E191" s="2">
        <f t="shared" si="12"/>
        <v>104</v>
      </c>
      <c r="F191" s="2">
        <f t="shared" si="13"/>
        <v>270</v>
      </c>
      <c r="G191" s="2">
        <f t="shared" si="14"/>
        <v>-166</v>
      </c>
      <c r="H191" s="2">
        <f t="shared" si="15"/>
        <v>27556</v>
      </c>
    </row>
    <row r="192" spans="1:8" x14ac:dyDescent="0.25">
      <c r="A192">
        <v>20</v>
      </c>
      <c r="B192">
        <v>3</v>
      </c>
      <c r="C192" s="2">
        <f t="shared" si="11"/>
        <v>20</v>
      </c>
      <c r="D192" s="2">
        <f t="shared" si="11"/>
        <v>3</v>
      </c>
      <c r="E192" s="2">
        <f t="shared" si="12"/>
        <v>93</v>
      </c>
      <c r="F192" s="2">
        <f t="shared" si="13"/>
        <v>51</v>
      </c>
      <c r="G192" s="2">
        <f t="shared" si="14"/>
        <v>42</v>
      </c>
      <c r="H192" s="2">
        <f t="shared" si="15"/>
        <v>1764</v>
      </c>
    </row>
    <row r="193" spans="1:8" x14ac:dyDescent="0.25">
      <c r="A193">
        <v>0</v>
      </c>
      <c r="B193">
        <v>11</v>
      </c>
      <c r="C193" s="2">
        <f t="shared" si="11"/>
        <v>0</v>
      </c>
      <c r="D193" s="2">
        <f t="shared" si="11"/>
        <v>11</v>
      </c>
      <c r="E193" s="2">
        <f t="shared" si="12"/>
        <v>40.5</v>
      </c>
      <c r="F193" s="2">
        <f t="shared" si="13"/>
        <v>182</v>
      </c>
      <c r="G193" s="2">
        <f t="shared" si="14"/>
        <v>-141.5</v>
      </c>
      <c r="H193" s="2">
        <f t="shared" si="15"/>
        <v>20022.25</v>
      </c>
    </row>
    <row r="194" spans="1:8" x14ac:dyDescent="0.25">
      <c r="A194">
        <v>0</v>
      </c>
      <c r="B194">
        <v>4</v>
      </c>
      <c r="C194" s="2">
        <f t="shared" si="11"/>
        <v>0</v>
      </c>
      <c r="D194" s="2">
        <f t="shared" si="11"/>
        <v>4</v>
      </c>
      <c r="E194" s="2">
        <f t="shared" si="12"/>
        <v>40.5</v>
      </c>
      <c r="F194" s="2">
        <f t="shared" si="13"/>
        <v>80</v>
      </c>
      <c r="G194" s="2">
        <f t="shared" si="14"/>
        <v>-39.5</v>
      </c>
      <c r="H194" s="2">
        <f t="shared" si="15"/>
        <v>1560.25</v>
      </c>
    </row>
    <row r="195" spans="1:8" x14ac:dyDescent="0.25">
      <c r="A195">
        <v>0</v>
      </c>
      <c r="B195">
        <v>7</v>
      </c>
      <c r="C195" s="2">
        <f t="shared" ref="C195:D258" si="16">IF(AND($A195&lt;&gt;"",$B195&lt;&gt;""),A195,"")</f>
        <v>0</v>
      </c>
      <c r="D195" s="2">
        <f t="shared" si="16"/>
        <v>7</v>
      </c>
      <c r="E195" s="2">
        <f t="shared" ref="E195:E258" si="17">IF(C195="","",_xlfn.RANK.AVG(C195,C$2:C$1003,1))</f>
        <v>40.5</v>
      </c>
      <c r="F195" s="2">
        <f t="shared" ref="F195:F258" si="18">IF(D195="","",_xlfn.RANK.AVG(D195,D$2:D$1003,1))</f>
        <v>137.5</v>
      </c>
      <c r="G195" s="2">
        <f t="shared" ref="G195:G258" si="19">IF(C195="","",E195-F195)</f>
        <v>-97</v>
      </c>
      <c r="H195" s="2">
        <f t="shared" ref="H195:H258" si="20">IF(C195="","",G195^2)</f>
        <v>9409</v>
      </c>
    </row>
    <row r="196" spans="1:8" x14ac:dyDescent="0.25">
      <c r="A196">
        <v>60</v>
      </c>
      <c r="B196">
        <v>4</v>
      </c>
      <c r="C196" s="2">
        <f t="shared" si="16"/>
        <v>60</v>
      </c>
      <c r="D196" s="2">
        <f t="shared" si="16"/>
        <v>4</v>
      </c>
      <c r="E196" s="2">
        <f t="shared" si="17"/>
        <v>167.5</v>
      </c>
      <c r="F196" s="2">
        <f t="shared" si="18"/>
        <v>80</v>
      </c>
      <c r="G196" s="2">
        <f t="shared" si="19"/>
        <v>87.5</v>
      </c>
      <c r="H196" s="2">
        <f t="shared" si="20"/>
        <v>7656.25</v>
      </c>
    </row>
    <row r="197" spans="1:8" x14ac:dyDescent="0.25">
      <c r="A197">
        <v>0</v>
      </c>
      <c r="B197">
        <v>3</v>
      </c>
      <c r="C197" s="2">
        <f t="shared" si="16"/>
        <v>0</v>
      </c>
      <c r="D197" s="2">
        <f t="shared" si="16"/>
        <v>3</v>
      </c>
      <c r="E197" s="2">
        <f t="shared" si="17"/>
        <v>40.5</v>
      </c>
      <c r="F197" s="2">
        <f t="shared" si="18"/>
        <v>51</v>
      </c>
      <c r="G197" s="2">
        <f t="shared" si="19"/>
        <v>-10.5</v>
      </c>
      <c r="H197" s="2">
        <f t="shared" si="20"/>
        <v>110.25</v>
      </c>
    </row>
    <row r="198" spans="1:8" x14ac:dyDescent="0.25">
      <c r="A198">
        <v>60</v>
      </c>
      <c r="B198">
        <v>4</v>
      </c>
      <c r="C198" s="2">
        <f t="shared" si="16"/>
        <v>60</v>
      </c>
      <c r="D198" s="2">
        <f t="shared" si="16"/>
        <v>4</v>
      </c>
      <c r="E198" s="2">
        <f t="shared" si="17"/>
        <v>167.5</v>
      </c>
      <c r="F198" s="2">
        <f t="shared" si="18"/>
        <v>80</v>
      </c>
      <c r="G198" s="2">
        <f t="shared" si="19"/>
        <v>87.5</v>
      </c>
      <c r="H198" s="2">
        <f t="shared" si="20"/>
        <v>7656.25</v>
      </c>
    </row>
    <row r="199" spans="1:8" x14ac:dyDescent="0.25">
      <c r="A199">
        <v>0</v>
      </c>
      <c r="B199">
        <v>3</v>
      </c>
      <c r="C199" s="2">
        <f t="shared" si="16"/>
        <v>0</v>
      </c>
      <c r="D199" s="2">
        <f t="shared" si="16"/>
        <v>3</v>
      </c>
      <c r="E199" s="2">
        <f t="shared" si="17"/>
        <v>40.5</v>
      </c>
      <c r="F199" s="2">
        <f t="shared" si="18"/>
        <v>51</v>
      </c>
      <c r="G199" s="2">
        <f t="shared" si="19"/>
        <v>-10.5</v>
      </c>
      <c r="H199" s="2">
        <f t="shared" si="20"/>
        <v>110.25</v>
      </c>
    </row>
    <row r="200" spans="1:8" x14ac:dyDescent="0.25">
      <c r="A200">
        <v>66.666666666666657</v>
      </c>
      <c r="B200">
        <v>2</v>
      </c>
      <c r="C200" s="2">
        <f t="shared" si="16"/>
        <v>66.666666666666657</v>
      </c>
      <c r="D200" s="2">
        <f t="shared" si="16"/>
        <v>2</v>
      </c>
      <c r="E200" s="2">
        <f t="shared" si="17"/>
        <v>183.5</v>
      </c>
      <c r="F200" s="2">
        <f t="shared" si="18"/>
        <v>27</v>
      </c>
      <c r="G200" s="2">
        <f t="shared" si="19"/>
        <v>156.5</v>
      </c>
      <c r="H200" s="2">
        <f t="shared" si="20"/>
        <v>24492.25</v>
      </c>
    </row>
    <row r="201" spans="1:8" x14ac:dyDescent="0.25">
      <c r="A201">
        <v>0</v>
      </c>
      <c r="B201">
        <v>2</v>
      </c>
      <c r="C201" s="2">
        <f t="shared" si="16"/>
        <v>0</v>
      </c>
      <c r="D201" s="2">
        <f t="shared" si="16"/>
        <v>2</v>
      </c>
      <c r="E201" s="2">
        <f t="shared" si="17"/>
        <v>40.5</v>
      </c>
      <c r="F201" s="2">
        <f t="shared" si="18"/>
        <v>27</v>
      </c>
      <c r="G201" s="2">
        <f t="shared" si="19"/>
        <v>13.5</v>
      </c>
      <c r="H201" s="2">
        <f t="shared" si="20"/>
        <v>182.25</v>
      </c>
    </row>
    <row r="202" spans="1:8" x14ac:dyDescent="0.25">
      <c r="A202">
        <v>66.666666666666657</v>
      </c>
      <c r="B202">
        <v>2</v>
      </c>
      <c r="C202" s="2">
        <f t="shared" si="16"/>
        <v>66.666666666666657</v>
      </c>
      <c r="D202" s="2">
        <f t="shared" si="16"/>
        <v>2</v>
      </c>
      <c r="E202" s="2">
        <f t="shared" si="17"/>
        <v>183.5</v>
      </c>
      <c r="F202" s="2">
        <f t="shared" si="18"/>
        <v>27</v>
      </c>
      <c r="G202" s="2">
        <f t="shared" si="19"/>
        <v>156.5</v>
      </c>
      <c r="H202" s="2">
        <f t="shared" si="20"/>
        <v>24492.25</v>
      </c>
    </row>
    <row r="203" spans="1:8" x14ac:dyDescent="0.25">
      <c r="A203">
        <v>94.444444444444443</v>
      </c>
      <c r="B203">
        <v>13</v>
      </c>
      <c r="C203" s="2">
        <f t="shared" si="16"/>
        <v>94.444444444444443</v>
      </c>
      <c r="D203" s="2">
        <f t="shared" si="16"/>
        <v>13</v>
      </c>
      <c r="E203" s="2">
        <f t="shared" si="17"/>
        <v>267</v>
      </c>
      <c r="F203" s="2">
        <f t="shared" si="18"/>
        <v>202.5</v>
      </c>
      <c r="G203" s="2">
        <f t="shared" si="19"/>
        <v>64.5</v>
      </c>
      <c r="H203" s="2">
        <f t="shared" si="20"/>
        <v>4160.25</v>
      </c>
    </row>
    <row r="204" spans="1:8" x14ac:dyDescent="0.25">
      <c r="A204">
        <v>95.412844036697251</v>
      </c>
      <c r="B204">
        <v>32</v>
      </c>
      <c r="C204" s="2">
        <f t="shared" si="16"/>
        <v>95.412844036697251</v>
      </c>
      <c r="D204" s="2">
        <f t="shared" si="16"/>
        <v>32</v>
      </c>
      <c r="E204" s="2">
        <f t="shared" si="17"/>
        <v>269</v>
      </c>
      <c r="F204" s="2">
        <f t="shared" si="18"/>
        <v>274.5</v>
      </c>
      <c r="G204" s="2">
        <f t="shared" si="19"/>
        <v>-5.5</v>
      </c>
      <c r="H204" s="2">
        <f t="shared" si="20"/>
        <v>30.25</v>
      </c>
    </row>
    <row r="205" spans="1:8" x14ac:dyDescent="0.25">
      <c r="A205">
        <v>100</v>
      </c>
      <c r="B205">
        <v>1</v>
      </c>
      <c r="C205" s="2">
        <f t="shared" si="16"/>
        <v>100</v>
      </c>
      <c r="D205" s="2">
        <f t="shared" si="16"/>
        <v>1</v>
      </c>
      <c r="E205" s="2">
        <f t="shared" si="17"/>
        <v>296.5</v>
      </c>
      <c r="F205" s="2">
        <f t="shared" si="18"/>
        <v>9.5</v>
      </c>
      <c r="G205" s="2">
        <f t="shared" si="19"/>
        <v>287</v>
      </c>
      <c r="H205" s="2">
        <f t="shared" si="20"/>
        <v>82369</v>
      </c>
    </row>
    <row r="206" spans="1:8" x14ac:dyDescent="0.25">
      <c r="A206">
        <v>71.15384615384616</v>
      </c>
      <c r="B206">
        <v>17</v>
      </c>
      <c r="C206" s="2">
        <f t="shared" si="16"/>
        <v>71.15384615384616</v>
      </c>
      <c r="D206" s="2">
        <f t="shared" si="16"/>
        <v>17</v>
      </c>
      <c r="E206" s="2">
        <f t="shared" si="17"/>
        <v>200</v>
      </c>
      <c r="F206" s="2">
        <f t="shared" si="18"/>
        <v>225</v>
      </c>
      <c r="G206" s="2">
        <f t="shared" si="19"/>
        <v>-25</v>
      </c>
      <c r="H206" s="2">
        <f t="shared" si="20"/>
        <v>625</v>
      </c>
    </row>
    <row r="207" spans="1:8" x14ac:dyDescent="0.25">
      <c r="A207">
        <v>100</v>
      </c>
      <c r="B207">
        <v>1</v>
      </c>
      <c r="C207" s="2">
        <f t="shared" si="16"/>
        <v>100</v>
      </c>
      <c r="D207" s="2">
        <f t="shared" si="16"/>
        <v>1</v>
      </c>
      <c r="E207" s="2">
        <f t="shared" si="17"/>
        <v>296.5</v>
      </c>
      <c r="F207" s="2">
        <f t="shared" si="18"/>
        <v>9.5</v>
      </c>
      <c r="G207" s="2">
        <f t="shared" si="19"/>
        <v>287</v>
      </c>
      <c r="H207" s="2">
        <f t="shared" si="20"/>
        <v>82369</v>
      </c>
    </row>
    <row r="208" spans="1:8" x14ac:dyDescent="0.25">
      <c r="A208">
        <v>34.285714285714285</v>
      </c>
      <c r="B208">
        <v>21</v>
      </c>
      <c r="C208" s="2">
        <f t="shared" si="16"/>
        <v>34.285714285714285</v>
      </c>
      <c r="D208" s="2">
        <f t="shared" si="16"/>
        <v>21</v>
      </c>
      <c r="E208" s="2">
        <f t="shared" si="17"/>
        <v>120</v>
      </c>
      <c r="F208" s="2">
        <f t="shared" si="18"/>
        <v>242</v>
      </c>
      <c r="G208" s="2">
        <f t="shared" si="19"/>
        <v>-122</v>
      </c>
      <c r="H208" s="2">
        <f t="shared" si="20"/>
        <v>14884</v>
      </c>
    </row>
    <row r="209" spans="1:8" x14ac:dyDescent="0.25">
      <c r="A209">
        <v>26.141078838174277</v>
      </c>
      <c r="B209">
        <v>108</v>
      </c>
      <c r="C209" s="2">
        <f t="shared" si="16"/>
        <v>26.141078838174277</v>
      </c>
      <c r="D209" s="2">
        <f t="shared" si="16"/>
        <v>108</v>
      </c>
      <c r="E209" s="2">
        <f t="shared" si="17"/>
        <v>98</v>
      </c>
      <c r="F209" s="2">
        <f t="shared" si="18"/>
        <v>309</v>
      </c>
      <c r="G209" s="2">
        <f t="shared" si="19"/>
        <v>-211</v>
      </c>
      <c r="H209" s="2">
        <f t="shared" si="20"/>
        <v>44521</v>
      </c>
    </row>
    <row r="210" spans="1:8" x14ac:dyDescent="0.25">
      <c r="A210">
        <v>0</v>
      </c>
      <c r="B210">
        <v>22</v>
      </c>
      <c r="C210" s="2">
        <f t="shared" si="16"/>
        <v>0</v>
      </c>
      <c r="D210" s="2">
        <f t="shared" si="16"/>
        <v>22</v>
      </c>
      <c r="E210" s="2">
        <f t="shared" si="17"/>
        <v>40.5</v>
      </c>
      <c r="F210" s="2">
        <f t="shared" si="18"/>
        <v>246.5</v>
      </c>
      <c r="G210" s="2">
        <f t="shared" si="19"/>
        <v>-206</v>
      </c>
      <c r="H210" s="2">
        <f t="shared" si="20"/>
        <v>42436</v>
      </c>
    </row>
    <row r="211" spans="1:8" x14ac:dyDescent="0.25">
      <c r="A211">
        <v>0</v>
      </c>
      <c r="B211">
        <v>24</v>
      </c>
      <c r="C211" s="2">
        <f t="shared" si="16"/>
        <v>0</v>
      </c>
      <c r="D211" s="2">
        <f t="shared" si="16"/>
        <v>24</v>
      </c>
      <c r="E211" s="2">
        <f t="shared" si="17"/>
        <v>40.5</v>
      </c>
      <c r="F211" s="2">
        <f t="shared" si="18"/>
        <v>256.5</v>
      </c>
      <c r="G211" s="2">
        <f t="shared" si="19"/>
        <v>-216</v>
      </c>
      <c r="H211" s="2">
        <f t="shared" si="20"/>
        <v>46656</v>
      </c>
    </row>
    <row r="212" spans="1:8" x14ac:dyDescent="0.25">
      <c r="A212">
        <v>8.695652173913043</v>
      </c>
      <c r="B212">
        <v>13</v>
      </c>
      <c r="C212" s="2">
        <f t="shared" si="16"/>
        <v>8.695652173913043</v>
      </c>
      <c r="D212" s="2">
        <f t="shared" si="16"/>
        <v>13</v>
      </c>
      <c r="E212" s="2">
        <f t="shared" si="17"/>
        <v>87</v>
      </c>
      <c r="F212" s="2">
        <f t="shared" si="18"/>
        <v>202.5</v>
      </c>
      <c r="G212" s="2">
        <f t="shared" si="19"/>
        <v>-115.5</v>
      </c>
      <c r="H212" s="2">
        <f t="shared" si="20"/>
        <v>13340.25</v>
      </c>
    </row>
    <row r="213" spans="1:8" x14ac:dyDescent="0.25">
      <c r="A213">
        <v>76.428571428571416</v>
      </c>
      <c r="B213">
        <v>47</v>
      </c>
      <c r="C213" s="2">
        <f t="shared" si="16"/>
        <v>76.428571428571416</v>
      </c>
      <c r="D213" s="2">
        <f t="shared" si="16"/>
        <v>47</v>
      </c>
      <c r="E213" s="2">
        <f t="shared" si="17"/>
        <v>209</v>
      </c>
      <c r="F213" s="2">
        <f t="shared" si="18"/>
        <v>290</v>
      </c>
      <c r="G213" s="2">
        <f t="shared" si="19"/>
        <v>-81</v>
      </c>
      <c r="H213" s="2">
        <f t="shared" si="20"/>
        <v>6561</v>
      </c>
    </row>
    <row r="214" spans="1:8" x14ac:dyDescent="0.25">
      <c r="A214">
        <v>34.020618556701031</v>
      </c>
      <c r="B214">
        <v>284</v>
      </c>
      <c r="C214" s="2">
        <f t="shared" si="16"/>
        <v>34.020618556701031</v>
      </c>
      <c r="D214" s="2">
        <f t="shared" si="16"/>
        <v>284</v>
      </c>
      <c r="E214" s="2">
        <f t="shared" si="17"/>
        <v>119</v>
      </c>
      <c r="F214" s="2">
        <f t="shared" si="18"/>
        <v>317</v>
      </c>
      <c r="G214" s="2">
        <f t="shared" si="19"/>
        <v>-198</v>
      </c>
      <c r="H214" s="2">
        <f t="shared" si="20"/>
        <v>39204</v>
      </c>
    </row>
    <row r="215" spans="1:8" x14ac:dyDescent="0.25">
      <c r="A215">
        <v>72.222222222222214</v>
      </c>
      <c r="B215">
        <v>7</v>
      </c>
      <c r="C215" s="2">
        <f t="shared" si="16"/>
        <v>72.222222222222214</v>
      </c>
      <c r="D215" s="2">
        <f t="shared" si="16"/>
        <v>7</v>
      </c>
      <c r="E215" s="2">
        <f t="shared" si="17"/>
        <v>202</v>
      </c>
      <c r="F215" s="2">
        <f t="shared" si="18"/>
        <v>137.5</v>
      </c>
      <c r="G215" s="2">
        <f t="shared" si="19"/>
        <v>64.5</v>
      </c>
      <c r="H215" s="2">
        <f t="shared" si="20"/>
        <v>4160.25</v>
      </c>
    </row>
    <row r="216" spans="1:8" x14ac:dyDescent="0.25">
      <c r="A216">
        <v>100</v>
      </c>
      <c r="B216">
        <v>2</v>
      </c>
      <c r="C216" s="2">
        <f t="shared" si="16"/>
        <v>100</v>
      </c>
      <c r="D216" s="2">
        <f t="shared" si="16"/>
        <v>2</v>
      </c>
      <c r="E216" s="2">
        <f t="shared" si="17"/>
        <v>296.5</v>
      </c>
      <c r="F216" s="2">
        <f t="shared" si="18"/>
        <v>27</v>
      </c>
      <c r="G216" s="2">
        <f t="shared" si="19"/>
        <v>269.5</v>
      </c>
      <c r="H216" s="2">
        <f t="shared" si="20"/>
        <v>72630.25</v>
      </c>
    </row>
    <row r="217" spans="1:8" x14ac:dyDescent="0.25">
      <c r="A217">
        <v>37.176470588235297</v>
      </c>
      <c r="B217">
        <v>132</v>
      </c>
      <c r="C217" s="2">
        <f t="shared" si="16"/>
        <v>37.176470588235297</v>
      </c>
      <c r="D217" s="2">
        <f t="shared" si="16"/>
        <v>132</v>
      </c>
      <c r="E217" s="2">
        <f t="shared" si="17"/>
        <v>123</v>
      </c>
      <c r="F217" s="2">
        <f t="shared" si="18"/>
        <v>312</v>
      </c>
      <c r="G217" s="2">
        <f t="shared" si="19"/>
        <v>-189</v>
      </c>
      <c r="H217" s="2">
        <f t="shared" si="20"/>
        <v>35721</v>
      </c>
    </row>
    <row r="218" spans="1:8" x14ac:dyDescent="0.25">
      <c r="A218">
        <v>28.571428571428569</v>
      </c>
      <c r="B218">
        <v>4</v>
      </c>
      <c r="C218" s="2">
        <f t="shared" si="16"/>
        <v>28.571428571428569</v>
      </c>
      <c r="D218" s="2">
        <f t="shared" si="16"/>
        <v>4</v>
      </c>
      <c r="E218" s="2">
        <f t="shared" si="17"/>
        <v>100</v>
      </c>
      <c r="F218" s="2">
        <f t="shared" si="18"/>
        <v>80</v>
      </c>
      <c r="G218" s="2">
        <f t="shared" si="19"/>
        <v>20</v>
      </c>
      <c r="H218" s="2">
        <f t="shared" si="20"/>
        <v>400</v>
      </c>
    </row>
    <row r="219" spans="1:8" x14ac:dyDescent="0.25">
      <c r="A219">
        <v>0</v>
      </c>
      <c r="B219">
        <v>283</v>
      </c>
      <c r="C219" s="2">
        <f t="shared" si="16"/>
        <v>0</v>
      </c>
      <c r="D219" s="2">
        <f t="shared" si="16"/>
        <v>283</v>
      </c>
      <c r="E219" s="2">
        <f t="shared" si="17"/>
        <v>40.5</v>
      </c>
      <c r="F219" s="2">
        <f t="shared" si="18"/>
        <v>316</v>
      </c>
      <c r="G219" s="2">
        <f t="shared" si="19"/>
        <v>-275.5</v>
      </c>
      <c r="H219" s="2">
        <f t="shared" si="20"/>
        <v>75900.25</v>
      </c>
    </row>
    <row r="220" spans="1:8" x14ac:dyDescent="0.25">
      <c r="A220">
        <v>0</v>
      </c>
      <c r="B220">
        <v>11</v>
      </c>
      <c r="C220" s="2">
        <f t="shared" si="16"/>
        <v>0</v>
      </c>
      <c r="D220" s="2">
        <f t="shared" si="16"/>
        <v>11</v>
      </c>
      <c r="E220" s="2">
        <f t="shared" si="17"/>
        <v>40.5</v>
      </c>
      <c r="F220" s="2">
        <f t="shared" si="18"/>
        <v>182</v>
      </c>
      <c r="G220" s="2">
        <f t="shared" si="19"/>
        <v>-141.5</v>
      </c>
      <c r="H220" s="2">
        <f t="shared" si="20"/>
        <v>20022.25</v>
      </c>
    </row>
    <row r="221" spans="1:8" x14ac:dyDescent="0.25">
      <c r="A221">
        <v>0</v>
      </c>
      <c r="B221">
        <v>1</v>
      </c>
      <c r="C221" s="2">
        <f t="shared" si="16"/>
        <v>0</v>
      </c>
      <c r="D221" s="2">
        <f t="shared" si="16"/>
        <v>1</v>
      </c>
      <c r="E221" s="2">
        <f t="shared" si="17"/>
        <v>40.5</v>
      </c>
      <c r="F221" s="2">
        <f t="shared" si="18"/>
        <v>9.5</v>
      </c>
      <c r="G221" s="2">
        <f t="shared" si="19"/>
        <v>31</v>
      </c>
      <c r="H221" s="2">
        <f t="shared" si="20"/>
        <v>961</v>
      </c>
    </row>
    <row r="222" spans="1:8" x14ac:dyDescent="0.25">
      <c r="A222">
        <v>70</v>
      </c>
      <c r="B222">
        <v>7</v>
      </c>
      <c r="C222" s="2">
        <f t="shared" si="16"/>
        <v>70</v>
      </c>
      <c r="D222" s="2">
        <f t="shared" si="16"/>
        <v>7</v>
      </c>
      <c r="E222" s="2">
        <f t="shared" si="17"/>
        <v>196</v>
      </c>
      <c r="F222" s="2">
        <f t="shared" si="18"/>
        <v>137.5</v>
      </c>
      <c r="G222" s="2">
        <f t="shared" si="19"/>
        <v>58.5</v>
      </c>
      <c r="H222" s="2">
        <f t="shared" si="20"/>
        <v>3422.25</v>
      </c>
    </row>
    <row r="223" spans="1:8" x14ac:dyDescent="0.25">
      <c r="A223">
        <v>44.444444444444443</v>
      </c>
      <c r="B223">
        <v>6</v>
      </c>
      <c r="C223" s="2">
        <f t="shared" si="16"/>
        <v>44.444444444444443</v>
      </c>
      <c r="D223" s="2">
        <f t="shared" si="16"/>
        <v>6</v>
      </c>
      <c r="E223" s="2">
        <f t="shared" si="17"/>
        <v>139</v>
      </c>
      <c r="F223" s="2">
        <f t="shared" si="18"/>
        <v>119</v>
      </c>
      <c r="G223" s="2">
        <f t="shared" si="19"/>
        <v>20</v>
      </c>
      <c r="H223" s="2">
        <f t="shared" si="20"/>
        <v>400</v>
      </c>
    </row>
    <row r="224" spans="1:8" x14ac:dyDescent="0.25">
      <c r="A224">
        <v>96.969696969696969</v>
      </c>
      <c r="B224">
        <v>9</v>
      </c>
      <c r="C224" s="2">
        <f t="shared" si="16"/>
        <v>96.969696969696969</v>
      </c>
      <c r="D224" s="2">
        <f t="shared" si="16"/>
        <v>9</v>
      </c>
      <c r="E224" s="2">
        <f t="shared" si="17"/>
        <v>272.5</v>
      </c>
      <c r="F224" s="2">
        <f t="shared" si="18"/>
        <v>165</v>
      </c>
      <c r="G224" s="2">
        <f t="shared" si="19"/>
        <v>107.5</v>
      </c>
      <c r="H224" s="2">
        <f t="shared" si="20"/>
        <v>11556.25</v>
      </c>
    </row>
    <row r="225" spans="1:8" x14ac:dyDescent="0.25">
      <c r="A225">
        <v>96.969696969696969</v>
      </c>
      <c r="B225">
        <v>9</v>
      </c>
      <c r="C225" s="2">
        <f t="shared" si="16"/>
        <v>96.969696969696969</v>
      </c>
      <c r="D225" s="2">
        <f t="shared" si="16"/>
        <v>9</v>
      </c>
      <c r="E225" s="2">
        <f t="shared" si="17"/>
        <v>272.5</v>
      </c>
      <c r="F225" s="2">
        <f t="shared" si="18"/>
        <v>165</v>
      </c>
      <c r="G225" s="2">
        <f t="shared" si="19"/>
        <v>107.5</v>
      </c>
      <c r="H225" s="2">
        <f t="shared" si="20"/>
        <v>11556.25</v>
      </c>
    </row>
    <row r="226" spans="1:8" x14ac:dyDescent="0.25">
      <c r="A226">
        <v>92.307692307692307</v>
      </c>
      <c r="B226">
        <v>20</v>
      </c>
      <c r="C226" s="2">
        <f t="shared" si="16"/>
        <v>92.307692307692307</v>
      </c>
      <c r="D226" s="2">
        <f t="shared" si="16"/>
        <v>20</v>
      </c>
      <c r="E226" s="2">
        <f t="shared" si="17"/>
        <v>260.5</v>
      </c>
      <c r="F226" s="2">
        <f t="shared" si="18"/>
        <v>236.5</v>
      </c>
      <c r="G226" s="2">
        <f t="shared" si="19"/>
        <v>24</v>
      </c>
      <c r="H226" s="2">
        <f t="shared" si="20"/>
        <v>576</v>
      </c>
    </row>
    <row r="227" spans="1:8" x14ac:dyDescent="0.25">
      <c r="A227">
        <v>33.333333333333329</v>
      </c>
      <c r="B227">
        <v>11</v>
      </c>
      <c r="C227" s="2">
        <f t="shared" si="16"/>
        <v>33.333333333333329</v>
      </c>
      <c r="D227" s="2">
        <f t="shared" si="16"/>
        <v>11</v>
      </c>
      <c r="E227" s="2">
        <f t="shared" si="17"/>
        <v>115</v>
      </c>
      <c r="F227" s="2">
        <f t="shared" si="18"/>
        <v>182</v>
      </c>
      <c r="G227" s="2">
        <f t="shared" si="19"/>
        <v>-67</v>
      </c>
      <c r="H227" s="2">
        <f t="shared" si="20"/>
        <v>4489</v>
      </c>
    </row>
    <row r="228" spans="1:8" x14ac:dyDescent="0.25">
      <c r="A228">
        <v>95.833333333333343</v>
      </c>
      <c r="B228">
        <v>13</v>
      </c>
      <c r="C228" s="2">
        <f t="shared" si="16"/>
        <v>95.833333333333343</v>
      </c>
      <c r="D228" s="2">
        <f t="shared" si="16"/>
        <v>13</v>
      </c>
      <c r="E228" s="2">
        <f t="shared" si="17"/>
        <v>270</v>
      </c>
      <c r="F228" s="2">
        <f t="shared" si="18"/>
        <v>202.5</v>
      </c>
      <c r="G228" s="2">
        <f t="shared" si="19"/>
        <v>67.5</v>
      </c>
      <c r="H228" s="2">
        <f t="shared" si="20"/>
        <v>4556.25</v>
      </c>
    </row>
    <row r="229" spans="1:8" x14ac:dyDescent="0.25">
      <c r="A229">
        <v>88.372093023255815</v>
      </c>
      <c r="B229">
        <v>13</v>
      </c>
      <c r="C229" s="2">
        <f t="shared" si="16"/>
        <v>88.372093023255815</v>
      </c>
      <c r="D229" s="2">
        <f t="shared" si="16"/>
        <v>13</v>
      </c>
      <c r="E229" s="2">
        <f t="shared" si="17"/>
        <v>248</v>
      </c>
      <c r="F229" s="2">
        <f t="shared" si="18"/>
        <v>202.5</v>
      </c>
      <c r="G229" s="2">
        <f t="shared" si="19"/>
        <v>45.5</v>
      </c>
      <c r="H229" s="2">
        <f t="shared" si="20"/>
        <v>2070.25</v>
      </c>
    </row>
    <row r="230" spans="1:8" x14ac:dyDescent="0.25">
      <c r="A230">
        <v>85.384615384615387</v>
      </c>
      <c r="B230">
        <v>37</v>
      </c>
      <c r="C230" s="2">
        <f t="shared" si="16"/>
        <v>85.384615384615387</v>
      </c>
      <c r="D230" s="2">
        <f t="shared" si="16"/>
        <v>37</v>
      </c>
      <c r="E230" s="2">
        <f t="shared" si="17"/>
        <v>238</v>
      </c>
      <c r="F230" s="2">
        <f t="shared" si="18"/>
        <v>280.5</v>
      </c>
      <c r="G230" s="2">
        <f t="shared" si="19"/>
        <v>-42.5</v>
      </c>
      <c r="H230" s="2">
        <f t="shared" si="20"/>
        <v>1806.25</v>
      </c>
    </row>
    <row r="231" spans="1:8" x14ac:dyDescent="0.25">
      <c r="A231">
        <v>87.5</v>
      </c>
      <c r="B231">
        <v>5</v>
      </c>
      <c r="C231" s="2">
        <f t="shared" si="16"/>
        <v>87.5</v>
      </c>
      <c r="D231" s="2">
        <f t="shared" si="16"/>
        <v>5</v>
      </c>
      <c r="E231" s="2">
        <f t="shared" si="17"/>
        <v>245.5</v>
      </c>
      <c r="F231" s="2">
        <f t="shared" si="18"/>
        <v>102</v>
      </c>
      <c r="G231" s="2">
        <f t="shared" si="19"/>
        <v>143.5</v>
      </c>
      <c r="H231" s="2">
        <f t="shared" si="20"/>
        <v>20592.25</v>
      </c>
    </row>
    <row r="232" spans="1:8" x14ac:dyDescent="0.25">
      <c r="A232">
        <v>73.80952380952381</v>
      </c>
      <c r="B232">
        <v>30</v>
      </c>
      <c r="C232" s="2">
        <f t="shared" si="16"/>
        <v>73.80952380952381</v>
      </c>
      <c r="D232" s="2">
        <f t="shared" si="16"/>
        <v>30</v>
      </c>
      <c r="E232" s="2">
        <f t="shared" si="17"/>
        <v>204</v>
      </c>
      <c r="F232" s="2">
        <f t="shared" si="18"/>
        <v>270</v>
      </c>
      <c r="G232" s="2">
        <f t="shared" si="19"/>
        <v>-66</v>
      </c>
      <c r="H232" s="2">
        <f t="shared" si="20"/>
        <v>4356</v>
      </c>
    </row>
    <row r="233" spans="1:8" x14ac:dyDescent="0.25">
      <c r="A233">
        <v>60</v>
      </c>
      <c r="B233">
        <v>2</v>
      </c>
      <c r="C233" s="2">
        <f t="shared" si="16"/>
        <v>60</v>
      </c>
      <c r="D233" s="2">
        <f t="shared" si="16"/>
        <v>2</v>
      </c>
      <c r="E233" s="2">
        <f t="shared" si="17"/>
        <v>167.5</v>
      </c>
      <c r="F233" s="2">
        <f t="shared" si="18"/>
        <v>27</v>
      </c>
      <c r="G233" s="2">
        <f t="shared" si="19"/>
        <v>140.5</v>
      </c>
      <c r="H233" s="2">
        <f t="shared" si="20"/>
        <v>19740.25</v>
      </c>
    </row>
    <row r="234" spans="1:8" x14ac:dyDescent="0.25">
      <c r="A234">
        <v>30.232558139534881</v>
      </c>
      <c r="B234">
        <v>15</v>
      </c>
      <c r="C234" s="2">
        <f t="shared" si="16"/>
        <v>30.232558139534881</v>
      </c>
      <c r="D234" s="2">
        <f t="shared" si="16"/>
        <v>15</v>
      </c>
      <c r="E234" s="2">
        <f t="shared" si="17"/>
        <v>105</v>
      </c>
      <c r="F234" s="2">
        <f t="shared" si="18"/>
        <v>214</v>
      </c>
      <c r="G234" s="2">
        <f t="shared" si="19"/>
        <v>-109</v>
      </c>
      <c r="H234" s="2">
        <f t="shared" si="20"/>
        <v>11881</v>
      </c>
    </row>
    <row r="235" spans="1:8" x14ac:dyDescent="0.25">
      <c r="A235">
        <v>0</v>
      </c>
      <c r="B235">
        <v>33</v>
      </c>
      <c r="C235" s="2">
        <f t="shared" si="16"/>
        <v>0</v>
      </c>
      <c r="D235" s="2">
        <f t="shared" si="16"/>
        <v>33</v>
      </c>
      <c r="E235" s="2">
        <f t="shared" si="17"/>
        <v>40.5</v>
      </c>
      <c r="F235" s="2">
        <f t="shared" si="18"/>
        <v>276.5</v>
      </c>
      <c r="G235" s="2">
        <f t="shared" si="19"/>
        <v>-236</v>
      </c>
      <c r="H235" s="2">
        <f t="shared" si="20"/>
        <v>55696</v>
      </c>
    </row>
    <row r="236" spans="1:8" x14ac:dyDescent="0.25">
      <c r="A236">
        <v>0</v>
      </c>
      <c r="B236">
        <v>1</v>
      </c>
      <c r="C236" s="2">
        <f t="shared" si="16"/>
        <v>0</v>
      </c>
      <c r="D236" s="2">
        <f t="shared" si="16"/>
        <v>1</v>
      </c>
      <c r="E236" s="2">
        <f t="shared" si="17"/>
        <v>40.5</v>
      </c>
      <c r="F236" s="2">
        <f t="shared" si="18"/>
        <v>9.5</v>
      </c>
      <c r="G236" s="2">
        <f t="shared" si="19"/>
        <v>31</v>
      </c>
      <c r="H236" s="2">
        <f t="shared" si="20"/>
        <v>961</v>
      </c>
    </row>
    <row r="237" spans="1:8" x14ac:dyDescent="0.25">
      <c r="A237">
        <v>0</v>
      </c>
      <c r="B237">
        <v>1</v>
      </c>
      <c r="C237" s="2">
        <f t="shared" si="16"/>
        <v>0</v>
      </c>
      <c r="D237" s="2">
        <f t="shared" si="16"/>
        <v>1</v>
      </c>
      <c r="E237" s="2">
        <f t="shared" si="17"/>
        <v>40.5</v>
      </c>
      <c r="F237" s="2">
        <f t="shared" si="18"/>
        <v>9.5</v>
      </c>
      <c r="G237" s="2">
        <f t="shared" si="19"/>
        <v>31</v>
      </c>
      <c r="H237" s="2">
        <f t="shared" si="20"/>
        <v>961</v>
      </c>
    </row>
    <row r="238" spans="1:8" x14ac:dyDescent="0.25">
      <c r="A238">
        <v>0</v>
      </c>
      <c r="B238">
        <v>9</v>
      </c>
      <c r="C238" s="2">
        <f t="shared" si="16"/>
        <v>0</v>
      </c>
      <c r="D238" s="2">
        <f t="shared" si="16"/>
        <v>9</v>
      </c>
      <c r="E238" s="2">
        <f t="shared" si="17"/>
        <v>40.5</v>
      </c>
      <c r="F238" s="2">
        <f t="shared" si="18"/>
        <v>165</v>
      </c>
      <c r="G238" s="2">
        <f t="shared" si="19"/>
        <v>-124.5</v>
      </c>
      <c r="H238" s="2">
        <f t="shared" si="20"/>
        <v>15500.25</v>
      </c>
    </row>
    <row r="239" spans="1:8" x14ac:dyDescent="0.25">
      <c r="A239">
        <v>0</v>
      </c>
      <c r="B239">
        <v>22</v>
      </c>
      <c r="C239" s="2">
        <f t="shared" si="16"/>
        <v>0</v>
      </c>
      <c r="D239" s="2">
        <f t="shared" si="16"/>
        <v>22</v>
      </c>
      <c r="E239" s="2">
        <f t="shared" si="17"/>
        <v>40.5</v>
      </c>
      <c r="F239" s="2">
        <f t="shared" si="18"/>
        <v>246.5</v>
      </c>
      <c r="G239" s="2">
        <f t="shared" si="19"/>
        <v>-206</v>
      </c>
      <c r="H239" s="2">
        <f t="shared" si="20"/>
        <v>42436</v>
      </c>
    </row>
    <row r="240" spans="1:8" x14ac:dyDescent="0.25">
      <c r="A240">
        <v>38.931297709923662</v>
      </c>
      <c r="B240">
        <v>119</v>
      </c>
      <c r="C240" s="2">
        <f t="shared" si="16"/>
        <v>38.931297709923662</v>
      </c>
      <c r="D240" s="2">
        <f t="shared" si="16"/>
        <v>119</v>
      </c>
      <c r="E240" s="2">
        <f t="shared" si="17"/>
        <v>127</v>
      </c>
      <c r="F240" s="2">
        <f t="shared" si="18"/>
        <v>311</v>
      </c>
      <c r="G240" s="2">
        <f t="shared" si="19"/>
        <v>-184</v>
      </c>
      <c r="H240" s="2">
        <f t="shared" si="20"/>
        <v>33856</v>
      </c>
    </row>
    <row r="241" spans="1:8" x14ac:dyDescent="0.25">
      <c r="A241">
        <v>70.383275261324044</v>
      </c>
      <c r="B241">
        <v>88</v>
      </c>
      <c r="C241" s="2">
        <f t="shared" si="16"/>
        <v>70.383275261324044</v>
      </c>
      <c r="D241" s="2">
        <f t="shared" si="16"/>
        <v>88</v>
      </c>
      <c r="E241" s="2">
        <f t="shared" si="17"/>
        <v>199</v>
      </c>
      <c r="F241" s="2">
        <f t="shared" si="18"/>
        <v>306</v>
      </c>
      <c r="G241" s="2">
        <f t="shared" si="19"/>
        <v>-107</v>
      </c>
      <c r="H241" s="2">
        <f t="shared" si="20"/>
        <v>11449</v>
      </c>
    </row>
    <row r="242" spans="1:8" x14ac:dyDescent="0.25">
      <c r="A242">
        <v>25.217391304347824</v>
      </c>
      <c r="B242">
        <v>83</v>
      </c>
      <c r="C242" s="2">
        <f t="shared" si="16"/>
        <v>25.217391304347824</v>
      </c>
      <c r="D242" s="2">
        <f t="shared" si="16"/>
        <v>83</v>
      </c>
      <c r="E242" s="2">
        <f t="shared" si="17"/>
        <v>97</v>
      </c>
      <c r="F242" s="2">
        <f t="shared" si="18"/>
        <v>305</v>
      </c>
      <c r="G242" s="2">
        <f t="shared" si="19"/>
        <v>-208</v>
      </c>
      <c r="H242" s="2">
        <f t="shared" si="20"/>
        <v>43264</v>
      </c>
    </row>
    <row r="243" spans="1:8" x14ac:dyDescent="0.25">
      <c r="A243">
        <v>0</v>
      </c>
      <c r="B243">
        <v>4</v>
      </c>
      <c r="C243" s="2">
        <f t="shared" si="16"/>
        <v>0</v>
      </c>
      <c r="D243" s="2">
        <f t="shared" si="16"/>
        <v>4</v>
      </c>
      <c r="E243" s="2">
        <f t="shared" si="17"/>
        <v>40.5</v>
      </c>
      <c r="F243" s="2">
        <f t="shared" si="18"/>
        <v>80</v>
      </c>
      <c r="G243" s="2">
        <f t="shared" si="19"/>
        <v>-39.5</v>
      </c>
      <c r="H243" s="2">
        <f t="shared" si="20"/>
        <v>1560.25</v>
      </c>
    </row>
    <row r="244" spans="1:8" x14ac:dyDescent="0.25">
      <c r="A244">
        <v>0</v>
      </c>
      <c r="B244">
        <v>4</v>
      </c>
      <c r="C244" s="2">
        <f t="shared" si="16"/>
        <v>0</v>
      </c>
      <c r="D244" s="2">
        <f t="shared" si="16"/>
        <v>4</v>
      </c>
      <c r="E244" s="2">
        <f t="shared" si="17"/>
        <v>40.5</v>
      </c>
      <c r="F244" s="2">
        <f t="shared" si="18"/>
        <v>80</v>
      </c>
      <c r="G244" s="2">
        <f t="shared" si="19"/>
        <v>-39.5</v>
      </c>
      <c r="H244" s="2">
        <f t="shared" si="20"/>
        <v>1560.25</v>
      </c>
    </row>
    <row r="245" spans="1:8" x14ac:dyDescent="0.25">
      <c r="A245">
        <v>70.370370370370367</v>
      </c>
      <c r="B245">
        <v>15</v>
      </c>
      <c r="C245" s="2">
        <f t="shared" si="16"/>
        <v>70.370370370370367</v>
      </c>
      <c r="D245" s="2">
        <f t="shared" si="16"/>
        <v>15</v>
      </c>
      <c r="E245" s="2">
        <f t="shared" si="17"/>
        <v>198</v>
      </c>
      <c r="F245" s="2">
        <f t="shared" si="18"/>
        <v>214</v>
      </c>
      <c r="G245" s="2">
        <f t="shared" si="19"/>
        <v>-16</v>
      </c>
      <c r="H245" s="2">
        <f t="shared" si="20"/>
        <v>256</v>
      </c>
    </row>
    <row r="246" spans="1:8" x14ac:dyDescent="0.25">
      <c r="A246">
        <v>30.76923076923077</v>
      </c>
      <c r="B246">
        <v>5</v>
      </c>
      <c r="C246" s="2">
        <f t="shared" si="16"/>
        <v>30.76923076923077</v>
      </c>
      <c r="D246" s="2">
        <f t="shared" si="16"/>
        <v>5</v>
      </c>
      <c r="E246" s="2">
        <f t="shared" si="17"/>
        <v>106.5</v>
      </c>
      <c r="F246" s="2">
        <f t="shared" si="18"/>
        <v>102</v>
      </c>
      <c r="G246" s="2">
        <f t="shared" si="19"/>
        <v>4.5</v>
      </c>
      <c r="H246" s="2">
        <f t="shared" si="20"/>
        <v>20.25</v>
      </c>
    </row>
    <row r="247" spans="1:8" x14ac:dyDescent="0.25">
      <c r="A247">
        <v>38.461538461538467</v>
      </c>
      <c r="B247">
        <v>5</v>
      </c>
      <c r="C247" s="2">
        <f t="shared" si="16"/>
        <v>38.461538461538467</v>
      </c>
      <c r="D247" s="2">
        <f t="shared" si="16"/>
        <v>5</v>
      </c>
      <c r="E247" s="2">
        <f t="shared" si="17"/>
        <v>125</v>
      </c>
      <c r="F247" s="2">
        <f t="shared" si="18"/>
        <v>102</v>
      </c>
      <c r="G247" s="2">
        <f t="shared" si="19"/>
        <v>23</v>
      </c>
      <c r="H247" s="2">
        <f t="shared" si="20"/>
        <v>529</v>
      </c>
    </row>
    <row r="248" spans="1:8" x14ac:dyDescent="0.25">
      <c r="A248">
        <v>6.0606060606060606</v>
      </c>
      <c r="B248">
        <v>2</v>
      </c>
      <c r="C248" s="2">
        <f t="shared" si="16"/>
        <v>6.0606060606060606</v>
      </c>
      <c r="D248" s="2">
        <f t="shared" si="16"/>
        <v>2</v>
      </c>
      <c r="E248" s="2">
        <f t="shared" si="17"/>
        <v>83</v>
      </c>
      <c r="F248" s="2">
        <f t="shared" si="18"/>
        <v>27</v>
      </c>
      <c r="G248" s="2">
        <f t="shared" si="19"/>
        <v>56</v>
      </c>
      <c r="H248" s="2">
        <f t="shared" si="20"/>
        <v>3136</v>
      </c>
    </row>
    <row r="249" spans="1:8" x14ac:dyDescent="0.25">
      <c r="A249">
        <v>14.754098360655737</v>
      </c>
      <c r="B249">
        <v>6</v>
      </c>
      <c r="C249" s="2">
        <f t="shared" si="16"/>
        <v>14.754098360655737</v>
      </c>
      <c r="D249" s="2">
        <f t="shared" si="16"/>
        <v>6</v>
      </c>
      <c r="E249" s="2">
        <f t="shared" si="17"/>
        <v>90</v>
      </c>
      <c r="F249" s="2">
        <f t="shared" si="18"/>
        <v>119</v>
      </c>
      <c r="G249" s="2">
        <f t="shared" si="19"/>
        <v>-29</v>
      </c>
      <c r="H249" s="2">
        <f t="shared" si="20"/>
        <v>841</v>
      </c>
    </row>
    <row r="250" spans="1:8" x14ac:dyDescent="0.25">
      <c r="A250">
        <v>54.166666666666664</v>
      </c>
      <c r="B250">
        <v>12</v>
      </c>
      <c r="C250" s="2">
        <f t="shared" si="16"/>
        <v>54.166666666666664</v>
      </c>
      <c r="D250" s="2">
        <f t="shared" si="16"/>
        <v>12</v>
      </c>
      <c r="E250" s="2">
        <f t="shared" si="17"/>
        <v>157</v>
      </c>
      <c r="F250" s="2">
        <f t="shared" si="18"/>
        <v>192.5</v>
      </c>
      <c r="G250" s="2">
        <f t="shared" si="19"/>
        <v>-35.5</v>
      </c>
      <c r="H250" s="2">
        <f t="shared" si="20"/>
        <v>1260.25</v>
      </c>
    </row>
    <row r="251" spans="1:8" x14ac:dyDescent="0.25">
      <c r="A251">
        <v>37.878787878787875</v>
      </c>
      <c r="B251">
        <v>28</v>
      </c>
      <c r="C251" s="2">
        <f t="shared" si="16"/>
        <v>37.878787878787875</v>
      </c>
      <c r="D251" s="2">
        <f t="shared" si="16"/>
        <v>28</v>
      </c>
      <c r="E251" s="2">
        <f t="shared" si="17"/>
        <v>124</v>
      </c>
      <c r="F251" s="2">
        <f t="shared" si="18"/>
        <v>265.5</v>
      </c>
      <c r="G251" s="2">
        <f t="shared" si="19"/>
        <v>-141.5</v>
      </c>
      <c r="H251" s="2">
        <f t="shared" si="20"/>
        <v>20022.25</v>
      </c>
    </row>
    <row r="252" spans="1:8" x14ac:dyDescent="0.25">
      <c r="A252">
        <v>50</v>
      </c>
      <c r="B252">
        <v>73</v>
      </c>
      <c r="C252" s="2">
        <f t="shared" si="16"/>
        <v>50</v>
      </c>
      <c r="D252" s="2">
        <f t="shared" si="16"/>
        <v>73</v>
      </c>
      <c r="E252" s="2">
        <f t="shared" si="17"/>
        <v>148.5</v>
      </c>
      <c r="F252" s="2">
        <f t="shared" si="18"/>
        <v>300</v>
      </c>
      <c r="G252" s="2">
        <f t="shared" si="19"/>
        <v>-151.5</v>
      </c>
      <c r="H252" s="2">
        <f t="shared" si="20"/>
        <v>22952.25</v>
      </c>
    </row>
    <row r="253" spans="1:8" x14ac:dyDescent="0.25">
      <c r="A253">
        <v>80.952380952380949</v>
      </c>
      <c r="B253">
        <v>24</v>
      </c>
      <c r="C253" s="2">
        <f t="shared" si="16"/>
        <v>80.952380952380949</v>
      </c>
      <c r="D253" s="2">
        <f t="shared" si="16"/>
        <v>24</v>
      </c>
      <c r="E253" s="2">
        <f t="shared" si="17"/>
        <v>227</v>
      </c>
      <c r="F253" s="2">
        <f t="shared" si="18"/>
        <v>256.5</v>
      </c>
      <c r="G253" s="2">
        <f t="shared" si="19"/>
        <v>-29.5</v>
      </c>
      <c r="H253" s="2">
        <f t="shared" si="20"/>
        <v>870.25</v>
      </c>
    </row>
    <row r="254" spans="1:8" x14ac:dyDescent="0.25">
      <c r="A254">
        <v>80</v>
      </c>
      <c r="B254">
        <v>8</v>
      </c>
      <c r="C254" s="2">
        <f t="shared" si="16"/>
        <v>80</v>
      </c>
      <c r="D254" s="2">
        <f t="shared" si="16"/>
        <v>8</v>
      </c>
      <c r="E254" s="2">
        <f t="shared" si="17"/>
        <v>220</v>
      </c>
      <c r="F254" s="2">
        <f t="shared" si="18"/>
        <v>152.5</v>
      </c>
      <c r="G254" s="2">
        <f t="shared" si="19"/>
        <v>67.5</v>
      </c>
      <c r="H254" s="2">
        <f t="shared" si="20"/>
        <v>4556.25</v>
      </c>
    </row>
    <row r="255" spans="1:8" x14ac:dyDescent="0.25">
      <c r="A255">
        <v>0</v>
      </c>
      <c r="B255">
        <v>29</v>
      </c>
      <c r="C255" s="2">
        <f t="shared" si="16"/>
        <v>0</v>
      </c>
      <c r="D255" s="2">
        <f t="shared" si="16"/>
        <v>29</v>
      </c>
      <c r="E255" s="2">
        <f t="shared" si="17"/>
        <v>40.5</v>
      </c>
      <c r="F255" s="2">
        <f t="shared" si="18"/>
        <v>267.5</v>
      </c>
      <c r="G255" s="2">
        <f t="shared" si="19"/>
        <v>-227</v>
      </c>
      <c r="H255" s="2">
        <f t="shared" si="20"/>
        <v>51529</v>
      </c>
    </row>
    <row r="256" spans="1:8" x14ac:dyDescent="0.25">
      <c r="A256">
        <v>68.75</v>
      </c>
      <c r="B256">
        <v>8</v>
      </c>
      <c r="C256" s="2">
        <f t="shared" si="16"/>
        <v>68.75</v>
      </c>
      <c r="D256" s="2">
        <f t="shared" si="16"/>
        <v>8</v>
      </c>
      <c r="E256" s="2">
        <f t="shared" si="17"/>
        <v>189.5</v>
      </c>
      <c r="F256" s="2">
        <f t="shared" si="18"/>
        <v>152.5</v>
      </c>
      <c r="G256" s="2">
        <f t="shared" si="19"/>
        <v>37</v>
      </c>
      <c r="H256" s="2">
        <f t="shared" si="20"/>
        <v>1369</v>
      </c>
    </row>
    <row r="257" spans="1:8" x14ac:dyDescent="0.25">
      <c r="A257">
        <v>33.333333333333329</v>
      </c>
      <c r="B257">
        <v>2</v>
      </c>
      <c r="C257" s="2">
        <f t="shared" si="16"/>
        <v>33.333333333333329</v>
      </c>
      <c r="D257" s="2">
        <f t="shared" si="16"/>
        <v>2</v>
      </c>
      <c r="E257" s="2">
        <f t="shared" si="17"/>
        <v>115</v>
      </c>
      <c r="F257" s="2">
        <f t="shared" si="18"/>
        <v>27</v>
      </c>
      <c r="G257" s="2">
        <f t="shared" si="19"/>
        <v>88</v>
      </c>
      <c r="H257" s="2">
        <f t="shared" si="20"/>
        <v>7744</v>
      </c>
    </row>
    <row r="258" spans="1:8" x14ac:dyDescent="0.25">
      <c r="A258">
        <v>87.5</v>
      </c>
      <c r="B258">
        <v>6</v>
      </c>
      <c r="C258" s="2">
        <f t="shared" si="16"/>
        <v>87.5</v>
      </c>
      <c r="D258" s="2">
        <f t="shared" si="16"/>
        <v>6</v>
      </c>
      <c r="E258" s="2">
        <f t="shared" si="17"/>
        <v>245.5</v>
      </c>
      <c r="F258" s="2">
        <f t="shared" si="18"/>
        <v>119</v>
      </c>
      <c r="G258" s="2">
        <f t="shared" si="19"/>
        <v>126.5</v>
      </c>
      <c r="H258" s="2">
        <f t="shared" si="20"/>
        <v>16002.25</v>
      </c>
    </row>
    <row r="259" spans="1:8" x14ac:dyDescent="0.25">
      <c r="A259">
        <v>0</v>
      </c>
      <c r="B259">
        <v>3</v>
      </c>
      <c r="C259" s="2">
        <f t="shared" ref="C259:D307" si="21">IF(AND($A259&lt;&gt;"",$B259&lt;&gt;""),A259,"")</f>
        <v>0</v>
      </c>
      <c r="D259" s="2">
        <f t="shared" si="21"/>
        <v>3</v>
      </c>
      <c r="E259" s="2">
        <f t="shared" ref="E259:E322" si="22">IF(C259="","",_xlfn.RANK.AVG(C259,C$2:C$1003,1))</f>
        <v>40.5</v>
      </c>
      <c r="F259" s="2">
        <f t="shared" ref="F259:F322" si="23">IF(D259="","",_xlfn.RANK.AVG(D259,D$2:D$1003,1))</f>
        <v>51</v>
      </c>
      <c r="G259" s="2">
        <f t="shared" ref="G259:G322" si="24">IF(C259="","",E259-F259)</f>
        <v>-10.5</v>
      </c>
      <c r="H259" s="2">
        <f t="shared" ref="H259:H322" si="25">IF(C259="","",G259^2)</f>
        <v>110.25</v>
      </c>
    </row>
    <row r="260" spans="1:8" x14ac:dyDescent="0.25">
      <c r="A260">
        <v>1.3513513513513513</v>
      </c>
      <c r="B260">
        <v>41</v>
      </c>
      <c r="C260" s="2">
        <f t="shared" si="21"/>
        <v>1.3513513513513513</v>
      </c>
      <c r="D260" s="2">
        <f t="shared" si="21"/>
        <v>41</v>
      </c>
      <c r="E260" s="2">
        <f t="shared" si="22"/>
        <v>81</v>
      </c>
      <c r="F260" s="2">
        <f t="shared" si="23"/>
        <v>285</v>
      </c>
      <c r="G260" s="2">
        <f t="shared" si="24"/>
        <v>-204</v>
      </c>
      <c r="H260" s="2">
        <f t="shared" si="25"/>
        <v>41616</v>
      </c>
    </row>
    <row r="261" spans="1:8" x14ac:dyDescent="0.25">
      <c r="A261">
        <v>0</v>
      </c>
      <c r="B261">
        <v>4</v>
      </c>
      <c r="C261" s="2">
        <f t="shared" si="21"/>
        <v>0</v>
      </c>
      <c r="D261" s="2">
        <f t="shared" si="21"/>
        <v>4</v>
      </c>
      <c r="E261" s="2">
        <f t="shared" si="22"/>
        <v>40.5</v>
      </c>
      <c r="F261" s="2">
        <f t="shared" si="23"/>
        <v>80</v>
      </c>
      <c r="G261" s="2">
        <f t="shared" si="24"/>
        <v>-39.5</v>
      </c>
      <c r="H261" s="2">
        <f t="shared" si="25"/>
        <v>1560.25</v>
      </c>
    </row>
    <row r="262" spans="1:8" x14ac:dyDescent="0.25">
      <c r="A262">
        <v>0</v>
      </c>
      <c r="B262">
        <v>23</v>
      </c>
      <c r="C262" s="2">
        <f t="shared" si="21"/>
        <v>0</v>
      </c>
      <c r="D262" s="2">
        <f t="shared" si="21"/>
        <v>23</v>
      </c>
      <c r="E262" s="2">
        <f t="shared" si="22"/>
        <v>40.5</v>
      </c>
      <c r="F262" s="2">
        <f t="shared" si="23"/>
        <v>251.5</v>
      </c>
      <c r="G262" s="2">
        <f t="shared" si="24"/>
        <v>-211</v>
      </c>
      <c r="H262" s="2">
        <f t="shared" si="25"/>
        <v>44521</v>
      </c>
    </row>
    <row r="263" spans="1:8" x14ac:dyDescent="0.25">
      <c r="A263">
        <v>0</v>
      </c>
      <c r="B263">
        <v>9</v>
      </c>
      <c r="C263" s="2">
        <f t="shared" si="21"/>
        <v>0</v>
      </c>
      <c r="D263" s="2">
        <f t="shared" si="21"/>
        <v>9</v>
      </c>
      <c r="E263" s="2">
        <f t="shared" si="22"/>
        <v>40.5</v>
      </c>
      <c r="F263" s="2">
        <f t="shared" si="23"/>
        <v>165</v>
      </c>
      <c r="G263" s="2">
        <f t="shared" si="24"/>
        <v>-124.5</v>
      </c>
      <c r="H263" s="2">
        <f t="shared" si="25"/>
        <v>15500.25</v>
      </c>
    </row>
    <row r="264" spans="1:8" x14ac:dyDescent="0.25">
      <c r="A264">
        <v>31.297709923664126</v>
      </c>
      <c r="B264">
        <v>55</v>
      </c>
      <c r="C264" s="2">
        <f t="shared" si="21"/>
        <v>31.297709923664126</v>
      </c>
      <c r="D264" s="2">
        <f t="shared" si="21"/>
        <v>55</v>
      </c>
      <c r="E264" s="2">
        <f t="shared" si="22"/>
        <v>108</v>
      </c>
      <c r="F264" s="2">
        <f t="shared" si="23"/>
        <v>295</v>
      </c>
      <c r="G264" s="2">
        <f t="shared" si="24"/>
        <v>-187</v>
      </c>
      <c r="H264" s="2">
        <f t="shared" si="25"/>
        <v>34969</v>
      </c>
    </row>
    <row r="265" spans="1:8" x14ac:dyDescent="0.25">
      <c r="A265">
        <v>80</v>
      </c>
      <c r="B265">
        <v>7</v>
      </c>
      <c r="C265" s="2">
        <f t="shared" si="21"/>
        <v>80</v>
      </c>
      <c r="D265" s="2">
        <f t="shared" si="21"/>
        <v>7</v>
      </c>
      <c r="E265" s="2">
        <f t="shared" si="22"/>
        <v>220</v>
      </c>
      <c r="F265" s="2">
        <f t="shared" si="23"/>
        <v>137.5</v>
      </c>
      <c r="G265" s="2">
        <f t="shared" si="24"/>
        <v>82.5</v>
      </c>
      <c r="H265" s="2">
        <f t="shared" si="25"/>
        <v>6806.25</v>
      </c>
    </row>
    <row r="266" spans="1:8" x14ac:dyDescent="0.25">
      <c r="A266">
        <v>85.483870967741936</v>
      </c>
      <c r="B266">
        <v>20</v>
      </c>
      <c r="C266" s="2">
        <f t="shared" si="21"/>
        <v>85.483870967741936</v>
      </c>
      <c r="D266" s="2">
        <f t="shared" si="21"/>
        <v>20</v>
      </c>
      <c r="E266" s="2">
        <f t="shared" si="22"/>
        <v>239</v>
      </c>
      <c r="F266" s="2">
        <f t="shared" si="23"/>
        <v>236.5</v>
      </c>
      <c r="G266" s="2">
        <f t="shared" si="24"/>
        <v>2.5</v>
      </c>
      <c r="H266" s="2">
        <f t="shared" si="25"/>
        <v>6.25</v>
      </c>
    </row>
    <row r="267" spans="1:8" x14ac:dyDescent="0.25">
      <c r="A267">
        <v>100</v>
      </c>
      <c r="B267">
        <v>1</v>
      </c>
      <c r="C267" s="2">
        <f t="shared" si="21"/>
        <v>100</v>
      </c>
      <c r="D267" s="2">
        <f t="shared" si="21"/>
        <v>1</v>
      </c>
      <c r="E267" s="2">
        <f t="shared" si="22"/>
        <v>296.5</v>
      </c>
      <c r="F267" s="2">
        <f t="shared" si="23"/>
        <v>9.5</v>
      </c>
      <c r="G267" s="2">
        <f t="shared" si="24"/>
        <v>287</v>
      </c>
      <c r="H267" s="2">
        <f t="shared" si="25"/>
        <v>82369</v>
      </c>
    </row>
    <row r="268" spans="1:8" x14ac:dyDescent="0.25">
      <c r="A268">
        <v>11.702127659574469</v>
      </c>
      <c r="B268">
        <v>47</v>
      </c>
      <c r="C268" s="2">
        <f t="shared" si="21"/>
        <v>11.702127659574469</v>
      </c>
      <c r="D268" s="2">
        <f t="shared" si="21"/>
        <v>47</v>
      </c>
      <c r="E268" s="2">
        <f t="shared" si="22"/>
        <v>88</v>
      </c>
      <c r="F268" s="2">
        <f t="shared" si="23"/>
        <v>290</v>
      </c>
      <c r="G268" s="2">
        <f t="shared" si="24"/>
        <v>-202</v>
      </c>
      <c r="H268" s="2">
        <f t="shared" si="25"/>
        <v>40804</v>
      </c>
    </row>
    <row r="269" spans="1:8" x14ac:dyDescent="0.25">
      <c r="A269">
        <v>0</v>
      </c>
      <c r="B269">
        <v>4</v>
      </c>
      <c r="C269" s="2">
        <f t="shared" si="21"/>
        <v>0</v>
      </c>
      <c r="D269" s="2">
        <f t="shared" si="21"/>
        <v>4</v>
      </c>
      <c r="E269" s="2">
        <f t="shared" si="22"/>
        <v>40.5</v>
      </c>
      <c r="F269" s="2">
        <f t="shared" si="23"/>
        <v>80</v>
      </c>
      <c r="G269" s="2">
        <f t="shared" si="24"/>
        <v>-39.5</v>
      </c>
      <c r="H269" s="2">
        <f t="shared" si="25"/>
        <v>1560.25</v>
      </c>
    </row>
    <row r="270" spans="1:8" x14ac:dyDescent="0.25">
      <c r="A270">
        <v>80.645161290322577</v>
      </c>
      <c r="B270">
        <v>16</v>
      </c>
      <c r="C270" s="2">
        <f t="shared" si="21"/>
        <v>80.645161290322577</v>
      </c>
      <c r="D270" s="2">
        <f t="shared" si="21"/>
        <v>16</v>
      </c>
      <c r="E270" s="2">
        <f t="shared" si="22"/>
        <v>224</v>
      </c>
      <c r="F270" s="2">
        <f t="shared" si="23"/>
        <v>219</v>
      </c>
      <c r="G270" s="2">
        <f t="shared" si="24"/>
        <v>5</v>
      </c>
      <c r="H270" s="2">
        <f t="shared" si="25"/>
        <v>25</v>
      </c>
    </row>
    <row r="271" spans="1:8" x14ac:dyDescent="0.25">
      <c r="A271">
        <v>75</v>
      </c>
      <c r="B271">
        <v>2</v>
      </c>
      <c r="C271" s="2">
        <f t="shared" si="21"/>
        <v>75</v>
      </c>
      <c r="D271" s="2">
        <f t="shared" si="21"/>
        <v>2</v>
      </c>
      <c r="E271" s="2">
        <f t="shared" si="22"/>
        <v>206</v>
      </c>
      <c r="F271" s="2">
        <f t="shared" si="23"/>
        <v>27</v>
      </c>
      <c r="G271" s="2">
        <f t="shared" si="24"/>
        <v>179</v>
      </c>
      <c r="H271" s="2">
        <f t="shared" si="25"/>
        <v>32041</v>
      </c>
    </row>
    <row r="272" spans="1:8" x14ac:dyDescent="0.25">
      <c r="A272">
        <v>100</v>
      </c>
      <c r="B272">
        <v>2</v>
      </c>
      <c r="C272" s="2">
        <f t="shared" si="21"/>
        <v>100</v>
      </c>
      <c r="D272" s="2">
        <f t="shared" si="21"/>
        <v>2</v>
      </c>
      <c r="E272" s="2">
        <f t="shared" si="22"/>
        <v>296.5</v>
      </c>
      <c r="F272" s="2">
        <f t="shared" si="23"/>
        <v>27</v>
      </c>
      <c r="G272" s="2">
        <f t="shared" si="24"/>
        <v>269.5</v>
      </c>
      <c r="H272" s="2">
        <f t="shared" si="25"/>
        <v>72630.25</v>
      </c>
    </row>
    <row r="273" spans="1:8" x14ac:dyDescent="0.25">
      <c r="A273">
        <v>0</v>
      </c>
      <c r="B273">
        <v>2</v>
      </c>
      <c r="C273" s="2">
        <f t="shared" si="21"/>
        <v>0</v>
      </c>
      <c r="D273" s="2">
        <f t="shared" si="21"/>
        <v>2</v>
      </c>
      <c r="E273" s="2">
        <f t="shared" si="22"/>
        <v>40.5</v>
      </c>
      <c r="F273" s="2">
        <f t="shared" si="23"/>
        <v>27</v>
      </c>
      <c r="G273" s="2">
        <f t="shared" si="24"/>
        <v>13.5</v>
      </c>
      <c r="H273" s="2">
        <f t="shared" si="25"/>
        <v>182.25</v>
      </c>
    </row>
    <row r="274" spans="1:8" x14ac:dyDescent="0.25">
      <c r="A274">
        <v>78.571428571428569</v>
      </c>
      <c r="B274">
        <v>11</v>
      </c>
      <c r="C274" s="2">
        <f t="shared" si="21"/>
        <v>78.571428571428569</v>
      </c>
      <c r="D274" s="2">
        <f t="shared" si="21"/>
        <v>11</v>
      </c>
      <c r="E274" s="2">
        <f t="shared" si="22"/>
        <v>216</v>
      </c>
      <c r="F274" s="2">
        <f t="shared" si="23"/>
        <v>182</v>
      </c>
      <c r="G274" s="2">
        <f t="shared" si="24"/>
        <v>34</v>
      </c>
      <c r="H274" s="2">
        <f t="shared" si="25"/>
        <v>1156</v>
      </c>
    </row>
    <row r="275" spans="1:8" x14ac:dyDescent="0.25">
      <c r="A275">
        <v>100</v>
      </c>
      <c r="B275">
        <v>4</v>
      </c>
      <c r="C275" s="2">
        <f t="shared" si="21"/>
        <v>100</v>
      </c>
      <c r="D275" s="2">
        <f t="shared" si="21"/>
        <v>4</v>
      </c>
      <c r="E275" s="2">
        <f t="shared" si="22"/>
        <v>296.5</v>
      </c>
      <c r="F275" s="2">
        <f t="shared" si="23"/>
        <v>80</v>
      </c>
      <c r="G275" s="2">
        <f t="shared" si="24"/>
        <v>216.5</v>
      </c>
      <c r="H275" s="2">
        <f t="shared" si="25"/>
        <v>46872.25</v>
      </c>
    </row>
    <row r="276" spans="1:8" x14ac:dyDescent="0.25">
      <c r="A276">
        <v>0</v>
      </c>
      <c r="B276">
        <v>9</v>
      </c>
      <c r="C276" s="2">
        <f t="shared" si="21"/>
        <v>0</v>
      </c>
      <c r="D276" s="2">
        <f t="shared" si="21"/>
        <v>9</v>
      </c>
      <c r="E276" s="2">
        <f t="shared" si="22"/>
        <v>40.5</v>
      </c>
      <c r="F276" s="2">
        <f t="shared" si="23"/>
        <v>165</v>
      </c>
      <c r="G276" s="2">
        <f t="shared" si="24"/>
        <v>-124.5</v>
      </c>
      <c r="H276" s="2">
        <f t="shared" si="25"/>
        <v>15500.25</v>
      </c>
    </row>
    <row r="277" spans="1:8" x14ac:dyDescent="0.25">
      <c r="A277">
        <v>44.878048780487809</v>
      </c>
      <c r="B277">
        <v>79</v>
      </c>
      <c r="C277" s="2">
        <f t="shared" si="21"/>
        <v>44.878048780487809</v>
      </c>
      <c r="D277" s="2">
        <f t="shared" si="21"/>
        <v>79</v>
      </c>
      <c r="E277" s="2">
        <f t="shared" si="22"/>
        <v>141</v>
      </c>
      <c r="F277" s="2">
        <f t="shared" si="23"/>
        <v>304</v>
      </c>
      <c r="G277" s="2">
        <f t="shared" si="24"/>
        <v>-163</v>
      </c>
      <c r="H277" s="2">
        <f t="shared" si="25"/>
        <v>26569</v>
      </c>
    </row>
    <row r="278" spans="1:8" x14ac:dyDescent="0.25">
      <c r="A278">
        <v>31.428571428571427</v>
      </c>
      <c r="B278">
        <v>19</v>
      </c>
      <c r="C278" s="2">
        <f t="shared" si="21"/>
        <v>31.428571428571427</v>
      </c>
      <c r="D278" s="2">
        <f t="shared" si="21"/>
        <v>19</v>
      </c>
      <c r="E278" s="2">
        <f t="shared" si="22"/>
        <v>109</v>
      </c>
      <c r="F278" s="2">
        <f t="shared" si="23"/>
        <v>231</v>
      </c>
      <c r="G278" s="2">
        <f t="shared" si="24"/>
        <v>-122</v>
      </c>
      <c r="H278" s="2">
        <f t="shared" si="25"/>
        <v>14884</v>
      </c>
    </row>
    <row r="279" spans="1:8" x14ac:dyDescent="0.25">
      <c r="A279">
        <v>0</v>
      </c>
      <c r="B279">
        <v>112</v>
      </c>
      <c r="C279" s="2">
        <f t="shared" si="21"/>
        <v>0</v>
      </c>
      <c r="D279" s="2">
        <f t="shared" si="21"/>
        <v>112</v>
      </c>
      <c r="E279" s="2">
        <f t="shared" si="22"/>
        <v>40.5</v>
      </c>
      <c r="F279" s="2">
        <f t="shared" si="23"/>
        <v>310</v>
      </c>
      <c r="G279" s="2">
        <f t="shared" si="24"/>
        <v>-269.5</v>
      </c>
      <c r="H279" s="2">
        <f t="shared" si="25"/>
        <v>72630.25</v>
      </c>
    </row>
    <row r="280" spans="1:8" x14ac:dyDescent="0.25">
      <c r="A280">
        <v>35.61643835616438</v>
      </c>
      <c r="B280">
        <v>56</v>
      </c>
      <c r="C280" s="2">
        <f t="shared" si="21"/>
        <v>35.61643835616438</v>
      </c>
      <c r="D280" s="2">
        <f t="shared" si="21"/>
        <v>56</v>
      </c>
      <c r="E280" s="2">
        <f t="shared" si="22"/>
        <v>121</v>
      </c>
      <c r="F280" s="2">
        <f t="shared" si="23"/>
        <v>296.5</v>
      </c>
      <c r="G280" s="2">
        <f t="shared" si="24"/>
        <v>-175.5</v>
      </c>
      <c r="H280" s="2">
        <f t="shared" si="25"/>
        <v>30800.25</v>
      </c>
    </row>
    <row r="281" spans="1:8" x14ac:dyDescent="0.25">
      <c r="A281">
        <v>0</v>
      </c>
      <c r="B281">
        <v>246</v>
      </c>
      <c r="C281" s="2">
        <f t="shared" si="21"/>
        <v>0</v>
      </c>
      <c r="D281" s="2">
        <f t="shared" si="21"/>
        <v>246</v>
      </c>
      <c r="E281" s="2">
        <f t="shared" si="22"/>
        <v>40.5</v>
      </c>
      <c r="F281" s="2">
        <f t="shared" si="23"/>
        <v>315</v>
      </c>
      <c r="G281" s="2">
        <f t="shared" si="24"/>
        <v>-274.5</v>
      </c>
      <c r="H281" s="2">
        <f t="shared" si="25"/>
        <v>75350.25</v>
      </c>
    </row>
    <row r="282" spans="1:8" x14ac:dyDescent="0.25">
      <c r="A282">
        <v>0</v>
      </c>
      <c r="B282">
        <v>5</v>
      </c>
      <c r="C282" s="2">
        <f t="shared" si="21"/>
        <v>0</v>
      </c>
      <c r="D282" s="2">
        <f t="shared" si="21"/>
        <v>5</v>
      </c>
      <c r="E282" s="2">
        <f t="shared" si="22"/>
        <v>40.5</v>
      </c>
      <c r="F282" s="2">
        <f t="shared" si="23"/>
        <v>102</v>
      </c>
      <c r="G282" s="2">
        <f t="shared" si="24"/>
        <v>-61.5</v>
      </c>
      <c r="H282" s="2">
        <f t="shared" si="25"/>
        <v>3782.25</v>
      </c>
    </row>
    <row r="283" spans="1:8" x14ac:dyDescent="0.25">
      <c r="A283">
        <v>41.042345276872965</v>
      </c>
      <c r="B283">
        <v>210</v>
      </c>
      <c r="C283" s="2">
        <f t="shared" si="21"/>
        <v>41.042345276872965</v>
      </c>
      <c r="D283" s="2">
        <f t="shared" si="21"/>
        <v>210</v>
      </c>
      <c r="E283" s="2">
        <f t="shared" si="22"/>
        <v>130</v>
      </c>
      <c r="F283" s="2">
        <f t="shared" si="23"/>
        <v>314</v>
      </c>
      <c r="G283" s="2">
        <f t="shared" si="24"/>
        <v>-184</v>
      </c>
      <c r="H283" s="2">
        <f t="shared" si="25"/>
        <v>33856</v>
      </c>
    </row>
    <row r="284" spans="1:8" x14ac:dyDescent="0.25">
      <c r="A284">
        <v>0</v>
      </c>
      <c r="B284">
        <v>1</v>
      </c>
      <c r="C284" s="2">
        <f t="shared" si="21"/>
        <v>0</v>
      </c>
      <c r="D284" s="2">
        <f t="shared" si="21"/>
        <v>1</v>
      </c>
      <c r="E284" s="2">
        <f t="shared" si="22"/>
        <v>40.5</v>
      </c>
      <c r="F284" s="2">
        <f t="shared" si="23"/>
        <v>9.5</v>
      </c>
      <c r="G284" s="2">
        <f t="shared" si="24"/>
        <v>31</v>
      </c>
      <c r="H284" s="2">
        <f t="shared" si="25"/>
        <v>961</v>
      </c>
    </row>
    <row r="285" spans="1:8" x14ac:dyDescent="0.25">
      <c r="A285">
        <v>6.666666666666667</v>
      </c>
      <c r="B285">
        <v>10</v>
      </c>
      <c r="C285" s="2">
        <f t="shared" si="21"/>
        <v>6.666666666666667</v>
      </c>
      <c r="D285" s="2">
        <f t="shared" si="21"/>
        <v>10</v>
      </c>
      <c r="E285" s="2">
        <f t="shared" si="22"/>
        <v>84</v>
      </c>
      <c r="F285" s="2">
        <f t="shared" si="23"/>
        <v>175</v>
      </c>
      <c r="G285" s="2">
        <f t="shared" si="24"/>
        <v>-91</v>
      </c>
      <c r="H285" s="2">
        <f t="shared" si="25"/>
        <v>8281</v>
      </c>
    </row>
    <row r="286" spans="1:8" x14ac:dyDescent="0.25">
      <c r="A286">
        <v>0</v>
      </c>
      <c r="B286">
        <v>5</v>
      </c>
      <c r="C286" s="2">
        <f t="shared" si="21"/>
        <v>0</v>
      </c>
      <c r="D286" s="2">
        <f t="shared" si="21"/>
        <v>5</v>
      </c>
      <c r="E286" s="2">
        <f t="shared" si="22"/>
        <v>40.5</v>
      </c>
      <c r="F286" s="2">
        <f t="shared" si="23"/>
        <v>102</v>
      </c>
      <c r="G286" s="2">
        <f t="shared" si="24"/>
        <v>-61.5</v>
      </c>
      <c r="H286" s="2">
        <f t="shared" si="25"/>
        <v>3782.25</v>
      </c>
    </row>
    <row r="287" spans="1:8" x14ac:dyDescent="0.25">
      <c r="A287">
        <v>0</v>
      </c>
      <c r="B287">
        <v>27</v>
      </c>
      <c r="C287" s="2">
        <f t="shared" si="21"/>
        <v>0</v>
      </c>
      <c r="D287" s="2">
        <f t="shared" si="21"/>
        <v>27</v>
      </c>
      <c r="E287" s="2">
        <f t="shared" si="22"/>
        <v>40.5</v>
      </c>
      <c r="F287" s="2">
        <f t="shared" si="23"/>
        <v>263.5</v>
      </c>
      <c r="G287" s="2">
        <f t="shared" si="24"/>
        <v>-223</v>
      </c>
      <c r="H287" s="2">
        <f t="shared" si="25"/>
        <v>49729</v>
      </c>
    </row>
    <row r="288" spans="1:8" x14ac:dyDescent="0.25">
      <c r="A288">
        <v>100</v>
      </c>
      <c r="B288">
        <v>2</v>
      </c>
      <c r="C288" s="2">
        <f t="shared" si="21"/>
        <v>100</v>
      </c>
      <c r="D288" s="2">
        <f t="shared" si="21"/>
        <v>2</v>
      </c>
      <c r="E288" s="2">
        <f t="shared" si="22"/>
        <v>296.5</v>
      </c>
      <c r="F288" s="2">
        <f t="shared" si="23"/>
        <v>27</v>
      </c>
      <c r="G288" s="2">
        <f t="shared" si="24"/>
        <v>269.5</v>
      </c>
      <c r="H288" s="2">
        <f t="shared" si="25"/>
        <v>72630.25</v>
      </c>
    </row>
    <row r="289" spans="1:8" x14ac:dyDescent="0.25">
      <c r="A289">
        <v>15.555555555555555</v>
      </c>
      <c r="B289">
        <v>17</v>
      </c>
      <c r="C289" s="2">
        <f t="shared" si="21"/>
        <v>15.555555555555555</v>
      </c>
      <c r="D289" s="2">
        <f t="shared" si="21"/>
        <v>17</v>
      </c>
      <c r="E289" s="2">
        <f t="shared" si="22"/>
        <v>91</v>
      </c>
      <c r="F289" s="2">
        <f t="shared" si="23"/>
        <v>225</v>
      </c>
      <c r="G289" s="2">
        <f t="shared" si="24"/>
        <v>-134</v>
      </c>
      <c r="H289" s="2">
        <f t="shared" si="25"/>
        <v>17956</v>
      </c>
    </row>
    <row r="290" spans="1:8" x14ac:dyDescent="0.25">
      <c r="A290">
        <v>0</v>
      </c>
      <c r="B290">
        <v>3</v>
      </c>
      <c r="C290" s="2">
        <f t="shared" si="21"/>
        <v>0</v>
      </c>
      <c r="D290" s="2">
        <f t="shared" si="21"/>
        <v>3</v>
      </c>
      <c r="E290" s="2">
        <f t="shared" si="22"/>
        <v>40.5</v>
      </c>
      <c r="F290" s="2">
        <f t="shared" si="23"/>
        <v>51</v>
      </c>
      <c r="G290" s="2">
        <f t="shared" si="24"/>
        <v>-10.5</v>
      </c>
      <c r="H290" s="2">
        <f t="shared" si="25"/>
        <v>110.25</v>
      </c>
    </row>
    <row r="291" spans="1:8" x14ac:dyDescent="0.25">
      <c r="A291">
        <v>0</v>
      </c>
      <c r="B291">
        <v>4</v>
      </c>
      <c r="C291" s="2">
        <f t="shared" si="21"/>
        <v>0</v>
      </c>
      <c r="D291" s="2">
        <f t="shared" si="21"/>
        <v>4</v>
      </c>
      <c r="E291" s="2">
        <f t="shared" si="22"/>
        <v>40.5</v>
      </c>
      <c r="F291" s="2">
        <f t="shared" si="23"/>
        <v>80</v>
      </c>
      <c r="G291" s="2">
        <f t="shared" si="24"/>
        <v>-39.5</v>
      </c>
      <c r="H291" s="2">
        <f t="shared" si="25"/>
        <v>1560.25</v>
      </c>
    </row>
    <row r="292" spans="1:8" x14ac:dyDescent="0.25">
      <c r="A292">
        <v>0</v>
      </c>
      <c r="B292">
        <v>4</v>
      </c>
      <c r="C292" s="2">
        <f t="shared" si="21"/>
        <v>0</v>
      </c>
      <c r="D292" s="2">
        <f t="shared" si="21"/>
        <v>4</v>
      </c>
      <c r="E292" s="2">
        <f t="shared" si="22"/>
        <v>40.5</v>
      </c>
      <c r="F292" s="2">
        <f t="shared" si="23"/>
        <v>80</v>
      </c>
      <c r="G292" s="2">
        <f t="shared" si="24"/>
        <v>-39.5</v>
      </c>
      <c r="H292" s="2">
        <f t="shared" si="25"/>
        <v>1560.25</v>
      </c>
    </row>
    <row r="293" spans="1:8" x14ac:dyDescent="0.25">
      <c r="A293">
        <v>0</v>
      </c>
      <c r="B293">
        <v>4</v>
      </c>
      <c r="C293" s="2">
        <f t="shared" si="21"/>
        <v>0</v>
      </c>
      <c r="D293" s="2">
        <f t="shared" si="21"/>
        <v>4</v>
      </c>
      <c r="E293" s="2">
        <f t="shared" si="22"/>
        <v>40.5</v>
      </c>
      <c r="F293" s="2">
        <f t="shared" si="23"/>
        <v>80</v>
      </c>
      <c r="G293" s="2">
        <f t="shared" si="24"/>
        <v>-39.5</v>
      </c>
      <c r="H293" s="2">
        <f t="shared" si="25"/>
        <v>1560.25</v>
      </c>
    </row>
    <row r="294" spans="1:8" x14ac:dyDescent="0.25">
      <c r="A294">
        <v>50</v>
      </c>
      <c r="B294">
        <v>8</v>
      </c>
      <c r="C294" s="2">
        <f t="shared" si="21"/>
        <v>50</v>
      </c>
      <c r="D294" s="2">
        <f t="shared" si="21"/>
        <v>8</v>
      </c>
      <c r="E294" s="2">
        <f t="shared" si="22"/>
        <v>148.5</v>
      </c>
      <c r="F294" s="2">
        <f t="shared" si="23"/>
        <v>152.5</v>
      </c>
      <c r="G294" s="2">
        <f t="shared" si="24"/>
        <v>-4</v>
      </c>
      <c r="H294" s="2">
        <f t="shared" si="25"/>
        <v>16</v>
      </c>
    </row>
    <row r="295" spans="1:8" x14ac:dyDescent="0.25">
      <c r="A295">
        <v>50</v>
      </c>
      <c r="B295">
        <v>10</v>
      </c>
      <c r="C295" s="2">
        <f t="shared" si="21"/>
        <v>50</v>
      </c>
      <c r="D295" s="2">
        <f t="shared" si="21"/>
        <v>10</v>
      </c>
      <c r="E295" s="2">
        <f t="shared" si="22"/>
        <v>148.5</v>
      </c>
      <c r="F295" s="2">
        <f t="shared" si="23"/>
        <v>175</v>
      </c>
      <c r="G295" s="2">
        <f t="shared" si="24"/>
        <v>-26.5</v>
      </c>
      <c r="H295" s="2">
        <f t="shared" si="25"/>
        <v>702.25</v>
      </c>
    </row>
    <row r="296" spans="1:8" x14ac:dyDescent="0.25">
      <c r="A296">
        <v>20.930232558139537</v>
      </c>
      <c r="B296">
        <v>21</v>
      </c>
      <c r="C296" s="2">
        <f t="shared" si="21"/>
        <v>20.930232558139537</v>
      </c>
      <c r="D296" s="2">
        <f t="shared" si="21"/>
        <v>21</v>
      </c>
      <c r="E296" s="2">
        <f t="shared" si="22"/>
        <v>95</v>
      </c>
      <c r="F296" s="2">
        <f t="shared" si="23"/>
        <v>242</v>
      </c>
      <c r="G296" s="2">
        <f t="shared" si="24"/>
        <v>-147</v>
      </c>
      <c r="H296" s="2">
        <f t="shared" si="25"/>
        <v>21609</v>
      </c>
    </row>
    <row r="297" spans="1:8" x14ac:dyDescent="0.25">
      <c r="A297">
        <v>69.230769230769226</v>
      </c>
      <c r="B297">
        <v>11</v>
      </c>
      <c r="C297" s="2">
        <f t="shared" si="21"/>
        <v>69.230769230769226</v>
      </c>
      <c r="D297" s="2">
        <f t="shared" si="21"/>
        <v>11</v>
      </c>
      <c r="E297" s="2">
        <f t="shared" si="22"/>
        <v>193</v>
      </c>
      <c r="F297" s="2">
        <f t="shared" si="23"/>
        <v>182</v>
      </c>
      <c r="G297" s="2">
        <f t="shared" si="24"/>
        <v>11</v>
      </c>
      <c r="H297" s="2">
        <f t="shared" si="25"/>
        <v>121</v>
      </c>
    </row>
    <row r="298" spans="1:8" x14ac:dyDescent="0.25">
      <c r="A298">
        <v>0</v>
      </c>
      <c r="B298">
        <v>4</v>
      </c>
      <c r="C298" s="2">
        <f t="shared" si="21"/>
        <v>0</v>
      </c>
      <c r="D298" s="2">
        <f t="shared" si="21"/>
        <v>4</v>
      </c>
      <c r="E298" s="2">
        <f t="shared" si="22"/>
        <v>40.5</v>
      </c>
      <c r="F298" s="2">
        <f t="shared" si="23"/>
        <v>80</v>
      </c>
      <c r="G298" s="2">
        <f t="shared" si="24"/>
        <v>-39.5</v>
      </c>
      <c r="H298" s="2">
        <f t="shared" si="25"/>
        <v>1560.25</v>
      </c>
    </row>
    <row r="299" spans="1:8" x14ac:dyDescent="0.25">
      <c r="A299">
        <v>50</v>
      </c>
      <c r="B299">
        <v>8</v>
      </c>
      <c r="C299" s="2">
        <f t="shared" si="21"/>
        <v>50</v>
      </c>
      <c r="D299" s="2">
        <f t="shared" si="21"/>
        <v>8</v>
      </c>
      <c r="E299" s="2">
        <f t="shared" si="22"/>
        <v>148.5</v>
      </c>
      <c r="F299" s="2">
        <f t="shared" si="23"/>
        <v>152.5</v>
      </c>
      <c r="G299" s="2">
        <f t="shared" si="24"/>
        <v>-4</v>
      </c>
      <c r="H299" s="2">
        <f t="shared" si="25"/>
        <v>16</v>
      </c>
    </row>
    <row r="300" spans="1:8" x14ac:dyDescent="0.25">
      <c r="A300">
        <v>0</v>
      </c>
      <c r="B300">
        <v>5</v>
      </c>
      <c r="C300" s="2">
        <f t="shared" si="21"/>
        <v>0</v>
      </c>
      <c r="D300" s="2">
        <f t="shared" si="21"/>
        <v>5</v>
      </c>
      <c r="E300" s="2">
        <f t="shared" si="22"/>
        <v>40.5</v>
      </c>
      <c r="F300" s="2">
        <f t="shared" si="23"/>
        <v>102</v>
      </c>
      <c r="G300" s="2">
        <f t="shared" si="24"/>
        <v>-61.5</v>
      </c>
      <c r="H300" s="2">
        <f t="shared" si="25"/>
        <v>3782.25</v>
      </c>
    </row>
    <row r="301" spans="1:8" x14ac:dyDescent="0.25">
      <c r="A301">
        <v>66.666666666666657</v>
      </c>
      <c r="B301">
        <v>2</v>
      </c>
      <c r="C301" s="2">
        <f t="shared" si="21"/>
        <v>66.666666666666657</v>
      </c>
      <c r="D301" s="2">
        <f t="shared" si="21"/>
        <v>2</v>
      </c>
      <c r="E301" s="2">
        <f t="shared" si="22"/>
        <v>183.5</v>
      </c>
      <c r="F301" s="2">
        <f t="shared" si="23"/>
        <v>27</v>
      </c>
      <c r="G301" s="2">
        <f t="shared" si="24"/>
        <v>156.5</v>
      </c>
      <c r="H301" s="2">
        <f t="shared" si="25"/>
        <v>24492.25</v>
      </c>
    </row>
    <row r="302" spans="1:8" x14ac:dyDescent="0.25">
      <c r="A302">
        <v>27.777777777777779</v>
      </c>
      <c r="B302">
        <v>13</v>
      </c>
      <c r="C302" s="2">
        <f t="shared" si="21"/>
        <v>27.777777777777779</v>
      </c>
      <c r="D302" s="2">
        <f t="shared" si="21"/>
        <v>13</v>
      </c>
      <c r="E302" s="2">
        <f t="shared" si="22"/>
        <v>99</v>
      </c>
      <c r="F302" s="2">
        <f t="shared" si="23"/>
        <v>202.5</v>
      </c>
      <c r="G302" s="2">
        <f t="shared" si="24"/>
        <v>-103.5</v>
      </c>
      <c r="H302" s="2">
        <f t="shared" si="25"/>
        <v>10712.25</v>
      </c>
    </row>
    <row r="303" spans="1:8" x14ac:dyDescent="0.25">
      <c r="A303">
        <v>98.181818181818187</v>
      </c>
      <c r="B303">
        <v>26</v>
      </c>
      <c r="C303" s="2">
        <f t="shared" si="21"/>
        <v>98.181818181818187</v>
      </c>
      <c r="D303" s="2">
        <f t="shared" si="21"/>
        <v>26</v>
      </c>
      <c r="E303" s="2">
        <f t="shared" si="22"/>
        <v>275</v>
      </c>
      <c r="F303" s="2">
        <f t="shared" si="23"/>
        <v>261</v>
      </c>
      <c r="G303" s="2">
        <f t="shared" si="24"/>
        <v>14</v>
      </c>
      <c r="H303" s="2">
        <f t="shared" si="25"/>
        <v>196</v>
      </c>
    </row>
    <row r="304" spans="1:8" x14ac:dyDescent="0.25">
      <c r="A304">
        <v>59.550561797752813</v>
      </c>
      <c r="B304">
        <v>50</v>
      </c>
      <c r="C304" s="2">
        <f t="shared" si="21"/>
        <v>59.550561797752813</v>
      </c>
      <c r="D304" s="2">
        <f t="shared" si="21"/>
        <v>50</v>
      </c>
      <c r="E304" s="2">
        <f t="shared" si="22"/>
        <v>165</v>
      </c>
      <c r="F304" s="2">
        <f t="shared" si="23"/>
        <v>293</v>
      </c>
      <c r="G304" s="2">
        <f t="shared" si="24"/>
        <v>-128</v>
      </c>
      <c r="H304" s="2">
        <f t="shared" si="25"/>
        <v>16384</v>
      </c>
    </row>
    <row r="305" spans="1:8" x14ac:dyDescent="0.25">
      <c r="A305">
        <v>75</v>
      </c>
      <c r="B305">
        <v>4</v>
      </c>
      <c r="C305" s="2">
        <f t="shared" si="21"/>
        <v>75</v>
      </c>
      <c r="D305" s="2">
        <f t="shared" si="21"/>
        <v>4</v>
      </c>
      <c r="E305" s="2">
        <f t="shared" si="22"/>
        <v>206</v>
      </c>
      <c r="F305" s="2">
        <f t="shared" si="23"/>
        <v>80</v>
      </c>
      <c r="G305" s="2">
        <f t="shared" si="24"/>
        <v>126</v>
      </c>
      <c r="H305" s="2">
        <f t="shared" si="25"/>
        <v>15876</v>
      </c>
    </row>
    <row r="306" spans="1:8" x14ac:dyDescent="0.25">
      <c r="A306">
        <v>63.333333333333329</v>
      </c>
      <c r="B306">
        <v>17</v>
      </c>
      <c r="C306" s="2">
        <f t="shared" si="21"/>
        <v>63.333333333333329</v>
      </c>
      <c r="D306" s="2">
        <f t="shared" si="21"/>
        <v>17</v>
      </c>
      <c r="E306" s="2">
        <f t="shared" si="22"/>
        <v>175</v>
      </c>
      <c r="F306" s="2">
        <f t="shared" si="23"/>
        <v>225</v>
      </c>
      <c r="G306" s="2">
        <f t="shared" si="24"/>
        <v>-50</v>
      </c>
      <c r="H306" s="2">
        <f t="shared" si="25"/>
        <v>2500</v>
      </c>
    </row>
    <row r="307" spans="1:8" x14ac:dyDescent="0.25">
      <c r="A307">
        <v>87.5</v>
      </c>
      <c r="B307">
        <v>4</v>
      </c>
      <c r="C307" s="2">
        <f t="shared" si="21"/>
        <v>87.5</v>
      </c>
      <c r="D307" s="2">
        <f t="shared" si="21"/>
        <v>4</v>
      </c>
      <c r="E307" s="2">
        <f t="shared" si="22"/>
        <v>245.5</v>
      </c>
      <c r="F307" s="2">
        <f t="shared" si="23"/>
        <v>80</v>
      </c>
      <c r="G307" s="2">
        <f t="shared" si="24"/>
        <v>165.5</v>
      </c>
      <c r="H307" s="2">
        <f t="shared" si="25"/>
        <v>27390.25</v>
      </c>
    </row>
    <row r="308" spans="1:8" x14ac:dyDescent="0.25">
      <c r="A308">
        <v>100</v>
      </c>
      <c r="B308">
        <v>1</v>
      </c>
      <c r="C308" s="2">
        <f t="shared" ref="C308:D371" si="26">IF(AND($A308&lt;&gt;"",$B308&lt;&gt;""),A308,"")</f>
        <v>100</v>
      </c>
      <c r="D308" s="2">
        <f t="shared" si="26"/>
        <v>1</v>
      </c>
      <c r="E308" s="2">
        <f t="shared" si="22"/>
        <v>296.5</v>
      </c>
      <c r="F308" s="2">
        <f t="shared" si="23"/>
        <v>9.5</v>
      </c>
      <c r="G308" s="2">
        <f t="shared" si="24"/>
        <v>287</v>
      </c>
      <c r="H308" s="2">
        <f t="shared" si="25"/>
        <v>82369</v>
      </c>
    </row>
    <row r="309" spans="1:8" x14ac:dyDescent="0.25">
      <c r="A309">
        <v>100</v>
      </c>
      <c r="B309">
        <v>1</v>
      </c>
      <c r="C309" s="2">
        <f t="shared" si="26"/>
        <v>100</v>
      </c>
      <c r="D309" s="2">
        <f t="shared" si="26"/>
        <v>1</v>
      </c>
      <c r="E309" s="2">
        <f t="shared" si="22"/>
        <v>296.5</v>
      </c>
      <c r="F309" s="2">
        <f t="shared" si="23"/>
        <v>9.5</v>
      </c>
      <c r="G309" s="2">
        <f t="shared" si="24"/>
        <v>287</v>
      </c>
      <c r="H309" s="2">
        <f t="shared" si="25"/>
        <v>82369</v>
      </c>
    </row>
    <row r="310" spans="1:8" x14ac:dyDescent="0.25">
      <c r="A310">
        <v>83.108108108108098</v>
      </c>
      <c r="B310">
        <v>56</v>
      </c>
      <c r="C310" s="2">
        <f t="shared" si="26"/>
        <v>83.108108108108098</v>
      </c>
      <c r="D310" s="2">
        <f t="shared" si="26"/>
        <v>56</v>
      </c>
      <c r="E310" s="2">
        <f t="shared" si="22"/>
        <v>232</v>
      </c>
      <c r="F310" s="2">
        <f t="shared" si="23"/>
        <v>296.5</v>
      </c>
      <c r="G310" s="2">
        <f t="shared" si="24"/>
        <v>-64.5</v>
      </c>
      <c r="H310" s="2">
        <f t="shared" si="25"/>
        <v>4160.25</v>
      </c>
    </row>
    <row r="311" spans="1:8" x14ac:dyDescent="0.25">
      <c r="A311">
        <v>0</v>
      </c>
      <c r="B311">
        <v>13</v>
      </c>
      <c r="C311" s="2">
        <f t="shared" si="26"/>
        <v>0</v>
      </c>
      <c r="D311" s="2">
        <f t="shared" si="26"/>
        <v>13</v>
      </c>
      <c r="E311" s="2">
        <f t="shared" si="22"/>
        <v>40.5</v>
      </c>
      <c r="F311" s="2">
        <f t="shared" si="23"/>
        <v>202.5</v>
      </c>
      <c r="G311" s="2">
        <f t="shared" si="24"/>
        <v>-162</v>
      </c>
      <c r="H311" s="2">
        <f t="shared" si="25"/>
        <v>26244</v>
      </c>
    </row>
    <row r="312" spans="1:8" x14ac:dyDescent="0.25">
      <c r="A312">
        <v>100</v>
      </c>
      <c r="B312">
        <v>3</v>
      </c>
      <c r="C312" s="2">
        <f t="shared" si="26"/>
        <v>100</v>
      </c>
      <c r="D312" s="2">
        <f t="shared" si="26"/>
        <v>3</v>
      </c>
      <c r="E312" s="2">
        <f t="shared" si="22"/>
        <v>296.5</v>
      </c>
      <c r="F312" s="2">
        <f t="shared" si="23"/>
        <v>51</v>
      </c>
      <c r="G312" s="2">
        <f t="shared" si="24"/>
        <v>245.5</v>
      </c>
      <c r="H312" s="2">
        <f t="shared" si="25"/>
        <v>60270.25</v>
      </c>
    </row>
    <row r="313" spans="1:8" x14ac:dyDescent="0.25">
      <c r="A313">
        <v>52.054794520547944</v>
      </c>
      <c r="B313">
        <v>37</v>
      </c>
      <c r="C313" s="2">
        <f t="shared" si="26"/>
        <v>52.054794520547944</v>
      </c>
      <c r="D313" s="2">
        <f t="shared" si="26"/>
        <v>37</v>
      </c>
      <c r="E313" s="2">
        <f t="shared" si="22"/>
        <v>155</v>
      </c>
      <c r="F313" s="2">
        <f t="shared" si="23"/>
        <v>280.5</v>
      </c>
      <c r="G313" s="2">
        <f t="shared" si="24"/>
        <v>-125.5</v>
      </c>
      <c r="H313" s="2">
        <f t="shared" si="25"/>
        <v>15750.25</v>
      </c>
    </row>
    <row r="314" spans="1:8" x14ac:dyDescent="0.25">
      <c r="A314">
        <v>77.777777777777786</v>
      </c>
      <c r="B314">
        <v>6</v>
      </c>
      <c r="C314" s="2">
        <f t="shared" si="26"/>
        <v>77.777777777777786</v>
      </c>
      <c r="D314" s="2">
        <f t="shared" si="26"/>
        <v>6</v>
      </c>
      <c r="E314" s="2">
        <f t="shared" si="22"/>
        <v>213.5</v>
      </c>
      <c r="F314" s="2">
        <f t="shared" si="23"/>
        <v>119</v>
      </c>
      <c r="G314" s="2">
        <f t="shared" si="24"/>
        <v>94.5</v>
      </c>
      <c r="H314" s="2">
        <f t="shared" si="25"/>
        <v>8930.25</v>
      </c>
    </row>
    <row r="315" spans="1:8" x14ac:dyDescent="0.25">
      <c r="A315">
        <v>90.963855421686745</v>
      </c>
      <c r="B315">
        <v>75</v>
      </c>
      <c r="C315" s="2">
        <f t="shared" si="26"/>
        <v>90.963855421686745</v>
      </c>
      <c r="D315" s="2">
        <f t="shared" si="26"/>
        <v>75</v>
      </c>
      <c r="E315" s="2">
        <f t="shared" si="22"/>
        <v>254</v>
      </c>
      <c r="F315" s="2">
        <f t="shared" si="23"/>
        <v>301</v>
      </c>
      <c r="G315" s="2">
        <f t="shared" si="24"/>
        <v>-47</v>
      </c>
      <c r="H315" s="2">
        <f t="shared" si="25"/>
        <v>2209</v>
      </c>
    </row>
    <row r="316" spans="1:8" x14ac:dyDescent="0.25">
      <c r="A316">
        <v>100</v>
      </c>
      <c r="B316">
        <v>6</v>
      </c>
      <c r="C316" s="2">
        <f t="shared" si="26"/>
        <v>100</v>
      </c>
      <c r="D316" s="2">
        <f t="shared" si="26"/>
        <v>6</v>
      </c>
      <c r="E316" s="2">
        <f t="shared" si="22"/>
        <v>296.5</v>
      </c>
      <c r="F316" s="2">
        <f t="shared" si="23"/>
        <v>119</v>
      </c>
      <c r="G316" s="2">
        <f t="shared" si="24"/>
        <v>177.5</v>
      </c>
      <c r="H316" s="2">
        <f t="shared" si="25"/>
        <v>31506.25</v>
      </c>
    </row>
    <row r="317" spans="1:8" x14ac:dyDescent="0.25">
      <c r="A317">
        <v>48.484848484848484</v>
      </c>
      <c r="B317">
        <v>9</v>
      </c>
      <c r="C317" s="2">
        <f t="shared" si="26"/>
        <v>48.484848484848484</v>
      </c>
      <c r="D317" s="2">
        <f t="shared" si="26"/>
        <v>9</v>
      </c>
      <c r="E317" s="2">
        <f t="shared" si="22"/>
        <v>143</v>
      </c>
      <c r="F317" s="2">
        <f t="shared" si="23"/>
        <v>165</v>
      </c>
      <c r="G317" s="2">
        <f t="shared" si="24"/>
        <v>-22</v>
      </c>
      <c r="H317" s="2">
        <f t="shared" si="25"/>
        <v>484</v>
      </c>
    </row>
    <row r="318" spans="1:8" x14ac:dyDescent="0.25">
      <c r="A318">
        <v>41.666666666666671</v>
      </c>
      <c r="B318">
        <v>12</v>
      </c>
      <c r="C318" s="2">
        <f t="shared" si="26"/>
        <v>41.666666666666671</v>
      </c>
      <c r="D318" s="2">
        <f t="shared" si="26"/>
        <v>12</v>
      </c>
      <c r="E318" s="2">
        <f t="shared" si="22"/>
        <v>131</v>
      </c>
      <c r="F318" s="2">
        <f t="shared" si="23"/>
        <v>192.5</v>
      </c>
      <c r="G318" s="2">
        <f t="shared" si="24"/>
        <v>-61.5</v>
      </c>
      <c r="H318" s="2">
        <f t="shared" si="25"/>
        <v>3782.25</v>
      </c>
    </row>
    <row r="319" spans="1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1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2019-04-13T06:55:01Z</dcterms:modified>
</cp:coreProperties>
</file>