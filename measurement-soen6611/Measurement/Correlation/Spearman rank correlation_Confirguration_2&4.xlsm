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_arma\Desktop\correlation_2&amp;4\"/>
    </mc:Choice>
  </mc:AlternateContent>
  <xr:revisionPtr revIDLastSave="0" documentId="13_ncr:1_{EB209DB2-B1A2-4386-BCEC-7DC1199AC1C8}" xr6:coauthVersionLast="36" xr6:coauthVersionMax="36" xr10:uidLastSave="{00000000-0000-0000-0000-000000000000}"/>
  <bookViews>
    <workbookView xWindow="0" yWindow="0" windowWidth="17685" windowHeight="9120" xr2:uid="{00000000-000D-0000-FFFF-FFFF00000000}"/>
  </bookViews>
  <sheets>
    <sheet name="SpearmanRh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07" i="1" l="1"/>
  <c r="F307" i="1" s="1"/>
  <c r="D308" i="1"/>
  <c r="F308" i="1" s="1"/>
  <c r="D309" i="1"/>
  <c r="F309" i="1" s="1"/>
  <c r="D310" i="1"/>
  <c r="F310" i="1" s="1"/>
  <c r="D311" i="1"/>
  <c r="F311" i="1" s="1"/>
  <c r="D312" i="1"/>
  <c r="F312" i="1" s="1"/>
  <c r="D313" i="1"/>
  <c r="F313" i="1" s="1"/>
  <c r="D314" i="1"/>
  <c r="F314" i="1" s="1"/>
  <c r="D315" i="1"/>
  <c r="F315" i="1" s="1"/>
  <c r="D316" i="1"/>
  <c r="F316" i="1" s="1"/>
  <c r="D317" i="1"/>
  <c r="F317" i="1" s="1"/>
  <c r="D318" i="1"/>
  <c r="F318" i="1" s="1"/>
  <c r="D319" i="1"/>
  <c r="F319" i="1" s="1"/>
  <c r="D320" i="1"/>
  <c r="F320" i="1" s="1"/>
  <c r="D321" i="1"/>
  <c r="F321" i="1" s="1"/>
  <c r="D322" i="1"/>
  <c r="F322" i="1" s="1"/>
  <c r="D323" i="1"/>
  <c r="F323" i="1" s="1"/>
  <c r="D324" i="1"/>
  <c r="F324" i="1" s="1"/>
  <c r="D325" i="1"/>
  <c r="F325" i="1" s="1"/>
  <c r="D326" i="1"/>
  <c r="F326" i="1" s="1"/>
  <c r="D327" i="1"/>
  <c r="F327" i="1" s="1"/>
  <c r="D328" i="1"/>
  <c r="F328" i="1" s="1"/>
  <c r="D329" i="1"/>
  <c r="F329" i="1" s="1"/>
  <c r="D330" i="1"/>
  <c r="F330" i="1" s="1"/>
  <c r="D331" i="1"/>
  <c r="F331" i="1" s="1"/>
  <c r="D332" i="1"/>
  <c r="F332" i="1" s="1"/>
  <c r="D333" i="1"/>
  <c r="F333" i="1" s="1"/>
  <c r="D334" i="1"/>
  <c r="F334" i="1" s="1"/>
  <c r="D335" i="1"/>
  <c r="F335" i="1" s="1"/>
  <c r="D336" i="1"/>
  <c r="F336" i="1" s="1"/>
  <c r="D337" i="1"/>
  <c r="F337" i="1" s="1"/>
  <c r="D338" i="1"/>
  <c r="F338" i="1" s="1"/>
  <c r="D339" i="1"/>
  <c r="F339" i="1" s="1"/>
  <c r="D340" i="1"/>
  <c r="F340" i="1" s="1"/>
  <c r="D341" i="1"/>
  <c r="F341" i="1" s="1"/>
  <c r="D342" i="1"/>
  <c r="F342" i="1" s="1"/>
  <c r="D343" i="1"/>
  <c r="F343" i="1" s="1"/>
  <c r="D344" i="1"/>
  <c r="F344" i="1" s="1"/>
  <c r="D345" i="1"/>
  <c r="F345" i="1" s="1"/>
  <c r="D346" i="1"/>
  <c r="F346" i="1" s="1"/>
  <c r="D347" i="1"/>
  <c r="F347" i="1" s="1"/>
  <c r="D348" i="1"/>
  <c r="F348" i="1" s="1"/>
  <c r="D349" i="1"/>
  <c r="F349" i="1" s="1"/>
  <c r="D350" i="1"/>
  <c r="F350" i="1" s="1"/>
  <c r="D351" i="1"/>
  <c r="F351" i="1" s="1"/>
  <c r="D352" i="1"/>
  <c r="F352" i="1" s="1"/>
  <c r="D353" i="1"/>
  <c r="F353" i="1" s="1"/>
  <c r="D354" i="1"/>
  <c r="F354" i="1" s="1"/>
  <c r="D355" i="1"/>
  <c r="F355" i="1" s="1"/>
  <c r="D356" i="1"/>
  <c r="F356" i="1" s="1"/>
  <c r="D357" i="1"/>
  <c r="F357" i="1" s="1"/>
  <c r="D358" i="1"/>
  <c r="F358" i="1" s="1"/>
  <c r="D359" i="1"/>
  <c r="F359" i="1" s="1"/>
  <c r="D360" i="1"/>
  <c r="F360" i="1" s="1"/>
  <c r="D361" i="1"/>
  <c r="F361" i="1" s="1"/>
  <c r="D362" i="1"/>
  <c r="F362" i="1" s="1"/>
  <c r="D363" i="1"/>
  <c r="F363" i="1" s="1"/>
  <c r="D364" i="1"/>
  <c r="F364" i="1" s="1"/>
  <c r="D365" i="1"/>
  <c r="F365" i="1" s="1"/>
  <c r="D366" i="1"/>
  <c r="F366" i="1" s="1"/>
  <c r="D367" i="1"/>
  <c r="F367" i="1" s="1"/>
  <c r="D368" i="1"/>
  <c r="F368" i="1" s="1"/>
  <c r="D369" i="1"/>
  <c r="F369" i="1" s="1"/>
  <c r="D370" i="1"/>
  <c r="F370" i="1" s="1"/>
  <c r="D371" i="1"/>
  <c r="F371" i="1" s="1"/>
  <c r="D372" i="1"/>
  <c r="F372" i="1" s="1"/>
  <c r="D373" i="1"/>
  <c r="F373" i="1" s="1"/>
  <c r="D374" i="1"/>
  <c r="F374" i="1" s="1"/>
  <c r="D375" i="1"/>
  <c r="F375" i="1" s="1"/>
  <c r="D376" i="1"/>
  <c r="F376" i="1" s="1"/>
  <c r="D377" i="1"/>
  <c r="F377" i="1" s="1"/>
  <c r="D378" i="1"/>
  <c r="F378" i="1" s="1"/>
  <c r="D379" i="1"/>
  <c r="F379" i="1" s="1"/>
  <c r="D380" i="1"/>
  <c r="F380" i="1" s="1"/>
  <c r="D381" i="1"/>
  <c r="F381" i="1" s="1"/>
  <c r="D382" i="1"/>
  <c r="F382" i="1" s="1"/>
  <c r="D383" i="1"/>
  <c r="F383" i="1" s="1"/>
  <c r="D384" i="1"/>
  <c r="F384" i="1" s="1"/>
  <c r="D385" i="1"/>
  <c r="F385" i="1" s="1"/>
  <c r="D386" i="1"/>
  <c r="F386" i="1" s="1"/>
  <c r="D387" i="1"/>
  <c r="F387" i="1" s="1"/>
  <c r="D388" i="1"/>
  <c r="F388" i="1" s="1"/>
  <c r="D389" i="1"/>
  <c r="F389" i="1" s="1"/>
  <c r="D390" i="1"/>
  <c r="F390" i="1" s="1"/>
  <c r="D391" i="1"/>
  <c r="F391" i="1" s="1"/>
  <c r="D392" i="1"/>
  <c r="F392" i="1" s="1"/>
  <c r="D393" i="1"/>
  <c r="F393" i="1" s="1"/>
  <c r="D394" i="1"/>
  <c r="F394" i="1" s="1"/>
  <c r="D395" i="1"/>
  <c r="F395" i="1" s="1"/>
  <c r="D396" i="1"/>
  <c r="F396" i="1" s="1"/>
  <c r="D397" i="1"/>
  <c r="F397" i="1" s="1"/>
  <c r="D398" i="1"/>
  <c r="F398" i="1" s="1"/>
  <c r="D399" i="1"/>
  <c r="F399" i="1" s="1"/>
  <c r="D400" i="1"/>
  <c r="F400" i="1" s="1"/>
  <c r="D401" i="1"/>
  <c r="F401" i="1" s="1"/>
  <c r="D402" i="1"/>
  <c r="F402" i="1" s="1"/>
  <c r="D403" i="1"/>
  <c r="F403" i="1" s="1"/>
  <c r="D404" i="1"/>
  <c r="F404" i="1" s="1"/>
  <c r="D405" i="1"/>
  <c r="F405" i="1" s="1"/>
  <c r="D406" i="1"/>
  <c r="F406" i="1" s="1"/>
  <c r="D407" i="1"/>
  <c r="F407" i="1" s="1"/>
  <c r="D408" i="1"/>
  <c r="F408" i="1" s="1"/>
  <c r="D409" i="1"/>
  <c r="F409" i="1" s="1"/>
  <c r="D410" i="1"/>
  <c r="F410" i="1" s="1"/>
  <c r="D411" i="1"/>
  <c r="F411" i="1" s="1"/>
  <c r="D412" i="1"/>
  <c r="F412" i="1" s="1"/>
  <c r="D413" i="1"/>
  <c r="F413" i="1" s="1"/>
  <c r="D414" i="1"/>
  <c r="F414" i="1" s="1"/>
  <c r="D415" i="1"/>
  <c r="F415" i="1" s="1"/>
  <c r="D416" i="1"/>
  <c r="F416" i="1" s="1"/>
  <c r="D417" i="1"/>
  <c r="F417" i="1" s="1"/>
  <c r="D418" i="1"/>
  <c r="F418" i="1" s="1"/>
  <c r="D419" i="1"/>
  <c r="F419" i="1" s="1"/>
  <c r="D420" i="1"/>
  <c r="F420" i="1" s="1"/>
  <c r="D421" i="1"/>
  <c r="F421" i="1" s="1"/>
  <c r="D422" i="1"/>
  <c r="F422" i="1" s="1"/>
  <c r="D423" i="1"/>
  <c r="F423" i="1" s="1"/>
  <c r="D424" i="1"/>
  <c r="F424" i="1" s="1"/>
  <c r="D425" i="1"/>
  <c r="F425" i="1" s="1"/>
  <c r="D426" i="1"/>
  <c r="F426" i="1" s="1"/>
  <c r="D427" i="1"/>
  <c r="F427" i="1" s="1"/>
  <c r="D428" i="1"/>
  <c r="F428" i="1" s="1"/>
  <c r="D429" i="1"/>
  <c r="F429" i="1" s="1"/>
  <c r="D430" i="1"/>
  <c r="F430" i="1" s="1"/>
  <c r="D431" i="1"/>
  <c r="F431" i="1" s="1"/>
  <c r="D432" i="1"/>
  <c r="F432" i="1" s="1"/>
  <c r="D433" i="1"/>
  <c r="F433" i="1" s="1"/>
  <c r="D434" i="1"/>
  <c r="F434" i="1" s="1"/>
  <c r="D435" i="1"/>
  <c r="F435" i="1" s="1"/>
  <c r="D436" i="1"/>
  <c r="F436" i="1" s="1"/>
  <c r="D437" i="1"/>
  <c r="F437" i="1" s="1"/>
  <c r="D438" i="1"/>
  <c r="F438" i="1" s="1"/>
  <c r="D439" i="1"/>
  <c r="F439" i="1" s="1"/>
  <c r="D440" i="1"/>
  <c r="F440" i="1" s="1"/>
  <c r="D441" i="1"/>
  <c r="F441" i="1" s="1"/>
  <c r="D442" i="1"/>
  <c r="F442" i="1" s="1"/>
  <c r="D443" i="1"/>
  <c r="F443" i="1" s="1"/>
  <c r="D444" i="1"/>
  <c r="F444" i="1" s="1"/>
  <c r="D445" i="1"/>
  <c r="F445" i="1" s="1"/>
  <c r="D446" i="1"/>
  <c r="F446" i="1" s="1"/>
  <c r="D447" i="1"/>
  <c r="F447" i="1" s="1"/>
  <c r="D448" i="1"/>
  <c r="F448" i="1" s="1"/>
  <c r="D449" i="1"/>
  <c r="F449" i="1" s="1"/>
  <c r="D450" i="1"/>
  <c r="F450" i="1" s="1"/>
  <c r="D451" i="1"/>
  <c r="F451" i="1" s="1"/>
  <c r="D452" i="1"/>
  <c r="F452" i="1" s="1"/>
  <c r="D453" i="1"/>
  <c r="F453" i="1" s="1"/>
  <c r="D454" i="1"/>
  <c r="F454" i="1" s="1"/>
  <c r="D455" i="1"/>
  <c r="F455" i="1" s="1"/>
  <c r="D456" i="1"/>
  <c r="F456" i="1" s="1"/>
  <c r="D457" i="1"/>
  <c r="F457" i="1" s="1"/>
  <c r="D458" i="1"/>
  <c r="F458" i="1" s="1"/>
  <c r="D459" i="1"/>
  <c r="F459" i="1" s="1"/>
  <c r="D460" i="1"/>
  <c r="F460" i="1" s="1"/>
  <c r="D461" i="1"/>
  <c r="F461" i="1" s="1"/>
  <c r="D462" i="1"/>
  <c r="F462" i="1" s="1"/>
  <c r="D463" i="1"/>
  <c r="F463" i="1" s="1"/>
  <c r="D464" i="1"/>
  <c r="F464" i="1" s="1"/>
  <c r="D465" i="1"/>
  <c r="F465" i="1" s="1"/>
  <c r="D466" i="1"/>
  <c r="F466" i="1" s="1"/>
  <c r="D467" i="1"/>
  <c r="F467" i="1" s="1"/>
  <c r="D468" i="1"/>
  <c r="F468" i="1" s="1"/>
  <c r="C307" i="1"/>
  <c r="C308" i="1"/>
  <c r="C309" i="1"/>
  <c r="C310" i="1"/>
  <c r="E310" i="1" s="1"/>
  <c r="C311" i="1"/>
  <c r="C312" i="1"/>
  <c r="C313" i="1"/>
  <c r="C314" i="1"/>
  <c r="C315" i="1"/>
  <c r="C316" i="1"/>
  <c r="C317" i="1"/>
  <c r="C318" i="1"/>
  <c r="E318" i="1" s="1"/>
  <c r="C319" i="1"/>
  <c r="C320" i="1"/>
  <c r="C321" i="1"/>
  <c r="C322" i="1"/>
  <c r="C323" i="1"/>
  <c r="C324" i="1"/>
  <c r="C325" i="1"/>
  <c r="C326" i="1"/>
  <c r="E326" i="1" s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E342" i="1" s="1"/>
  <c r="C343" i="1"/>
  <c r="C344" i="1"/>
  <c r="C345" i="1"/>
  <c r="C346" i="1"/>
  <c r="C347" i="1"/>
  <c r="C348" i="1"/>
  <c r="C349" i="1"/>
  <c r="C350" i="1"/>
  <c r="E350" i="1" s="1"/>
  <c r="C351" i="1"/>
  <c r="C352" i="1"/>
  <c r="C353" i="1"/>
  <c r="C354" i="1"/>
  <c r="C355" i="1"/>
  <c r="C356" i="1"/>
  <c r="C357" i="1"/>
  <c r="C358" i="1"/>
  <c r="H358" i="1" s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E374" i="1" s="1"/>
  <c r="C375" i="1"/>
  <c r="C376" i="1"/>
  <c r="C377" i="1"/>
  <c r="C378" i="1"/>
  <c r="C379" i="1"/>
  <c r="G379" i="1" s="1"/>
  <c r="C380" i="1"/>
  <c r="C381" i="1"/>
  <c r="C382" i="1"/>
  <c r="E382" i="1" s="1"/>
  <c r="C383" i="1"/>
  <c r="C384" i="1"/>
  <c r="C385" i="1"/>
  <c r="C386" i="1"/>
  <c r="C387" i="1"/>
  <c r="C388" i="1"/>
  <c r="C389" i="1"/>
  <c r="C390" i="1"/>
  <c r="E390" i="1" s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E406" i="1" s="1"/>
  <c r="C407" i="1"/>
  <c r="C408" i="1"/>
  <c r="C409" i="1"/>
  <c r="C410" i="1"/>
  <c r="C411" i="1"/>
  <c r="C412" i="1"/>
  <c r="C413" i="1"/>
  <c r="C414" i="1"/>
  <c r="E414" i="1" s="1"/>
  <c r="C415" i="1"/>
  <c r="C416" i="1"/>
  <c r="C417" i="1"/>
  <c r="C418" i="1"/>
  <c r="C419" i="1"/>
  <c r="C420" i="1"/>
  <c r="C421" i="1"/>
  <c r="C422" i="1"/>
  <c r="H422" i="1" s="1"/>
  <c r="C423" i="1"/>
  <c r="C424" i="1"/>
  <c r="C425" i="1"/>
  <c r="C426" i="1"/>
  <c r="C427" i="1"/>
  <c r="C428" i="1"/>
  <c r="C429" i="1"/>
  <c r="C430" i="1"/>
  <c r="C431" i="1"/>
  <c r="C432" i="1"/>
  <c r="C433" i="1"/>
  <c r="C434" i="1"/>
  <c r="H434" i="1" s="1"/>
  <c r="C435" i="1"/>
  <c r="C436" i="1"/>
  <c r="C437" i="1"/>
  <c r="C438" i="1"/>
  <c r="E438" i="1" s="1"/>
  <c r="C439" i="1"/>
  <c r="C440" i="1"/>
  <c r="C441" i="1"/>
  <c r="C442" i="1"/>
  <c r="C443" i="1"/>
  <c r="G443" i="1" s="1"/>
  <c r="C444" i="1"/>
  <c r="C445" i="1"/>
  <c r="C446" i="1"/>
  <c r="E446" i="1" s="1"/>
  <c r="C447" i="1"/>
  <c r="C448" i="1"/>
  <c r="C449" i="1"/>
  <c r="C450" i="1"/>
  <c r="C451" i="1"/>
  <c r="C452" i="1"/>
  <c r="C453" i="1"/>
  <c r="C454" i="1"/>
  <c r="E454" i="1" s="1"/>
  <c r="C455" i="1"/>
  <c r="C456" i="1"/>
  <c r="H456" i="1" s="1"/>
  <c r="C457" i="1"/>
  <c r="C458" i="1"/>
  <c r="C459" i="1"/>
  <c r="C460" i="1"/>
  <c r="C461" i="1"/>
  <c r="C462" i="1"/>
  <c r="C463" i="1"/>
  <c r="C464" i="1"/>
  <c r="G464" i="1" s="1"/>
  <c r="C465" i="1"/>
  <c r="C466" i="1"/>
  <c r="C467" i="1"/>
  <c r="C468" i="1"/>
  <c r="K22" i="1"/>
  <c r="K18" i="1"/>
  <c r="K14" i="1"/>
  <c r="K26" i="1"/>
  <c r="E358" i="1" l="1"/>
  <c r="E422" i="1"/>
  <c r="G465" i="1"/>
  <c r="H465" i="1"/>
  <c r="E465" i="1"/>
  <c r="G457" i="1"/>
  <c r="H457" i="1"/>
  <c r="E457" i="1"/>
  <c r="G449" i="1"/>
  <c r="H449" i="1"/>
  <c r="E449" i="1"/>
  <c r="G441" i="1"/>
  <c r="H441" i="1"/>
  <c r="E441" i="1"/>
  <c r="G433" i="1"/>
  <c r="H433" i="1"/>
  <c r="E433" i="1"/>
  <c r="G425" i="1"/>
  <c r="H425" i="1"/>
  <c r="E425" i="1"/>
  <c r="G417" i="1"/>
  <c r="H417" i="1"/>
  <c r="E417" i="1"/>
  <c r="G409" i="1"/>
  <c r="H409" i="1"/>
  <c r="E409" i="1"/>
  <c r="G401" i="1"/>
  <c r="H401" i="1"/>
  <c r="E401" i="1"/>
  <c r="G393" i="1"/>
  <c r="H393" i="1"/>
  <c r="E393" i="1"/>
  <c r="G385" i="1"/>
  <c r="H385" i="1"/>
  <c r="E385" i="1"/>
  <c r="G373" i="1"/>
  <c r="H373" i="1"/>
  <c r="E373" i="1"/>
  <c r="G361" i="1"/>
  <c r="H361" i="1"/>
  <c r="E361" i="1"/>
  <c r="G349" i="1"/>
  <c r="E349" i="1"/>
  <c r="G337" i="1"/>
  <c r="H337" i="1"/>
  <c r="E337" i="1"/>
  <c r="G321" i="1"/>
  <c r="H321" i="1"/>
  <c r="E321" i="1"/>
  <c r="G460" i="1"/>
  <c r="H460" i="1"/>
  <c r="E460" i="1"/>
  <c r="H452" i="1"/>
  <c r="E452" i="1"/>
  <c r="G452" i="1"/>
  <c r="G444" i="1"/>
  <c r="E444" i="1"/>
  <c r="H444" i="1"/>
  <c r="H436" i="1"/>
  <c r="G436" i="1"/>
  <c r="E436" i="1"/>
  <c r="H432" i="1"/>
  <c r="E432" i="1"/>
  <c r="G432" i="1"/>
  <c r="G428" i="1"/>
  <c r="H428" i="1"/>
  <c r="E428" i="1"/>
  <c r="G424" i="1"/>
  <c r="E424" i="1"/>
  <c r="H424" i="1"/>
  <c r="H420" i="1"/>
  <c r="E420" i="1"/>
  <c r="G420" i="1"/>
  <c r="H416" i="1"/>
  <c r="G416" i="1"/>
  <c r="E416" i="1"/>
  <c r="G412" i="1"/>
  <c r="E412" i="1"/>
  <c r="H412" i="1"/>
  <c r="G408" i="1"/>
  <c r="H408" i="1"/>
  <c r="E408" i="1"/>
  <c r="H404" i="1"/>
  <c r="G404" i="1"/>
  <c r="E404" i="1"/>
  <c r="H400" i="1"/>
  <c r="E400" i="1"/>
  <c r="G396" i="1"/>
  <c r="H396" i="1"/>
  <c r="E396" i="1"/>
  <c r="G392" i="1"/>
  <c r="E392" i="1"/>
  <c r="H388" i="1"/>
  <c r="E388" i="1"/>
  <c r="G388" i="1"/>
  <c r="H384" i="1"/>
  <c r="G384" i="1"/>
  <c r="E384" i="1"/>
  <c r="G380" i="1"/>
  <c r="E380" i="1"/>
  <c r="H380" i="1"/>
  <c r="G376" i="1"/>
  <c r="H376" i="1"/>
  <c r="E376" i="1"/>
  <c r="H372" i="1"/>
  <c r="G372" i="1"/>
  <c r="E372" i="1"/>
  <c r="H368" i="1"/>
  <c r="E368" i="1"/>
  <c r="G368" i="1"/>
  <c r="G364" i="1"/>
  <c r="H364" i="1"/>
  <c r="E364" i="1"/>
  <c r="G360" i="1"/>
  <c r="E360" i="1"/>
  <c r="H360" i="1"/>
  <c r="H356" i="1"/>
  <c r="E356" i="1"/>
  <c r="G356" i="1"/>
  <c r="H352" i="1"/>
  <c r="G352" i="1"/>
  <c r="E352" i="1"/>
  <c r="G348" i="1"/>
  <c r="E348" i="1"/>
  <c r="H348" i="1"/>
  <c r="G344" i="1"/>
  <c r="H344" i="1"/>
  <c r="E344" i="1"/>
  <c r="H340" i="1"/>
  <c r="G340" i="1"/>
  <c r="E340" i="1"/>
  <c r="H336" i="1"/>
  <c r="E336" i="1"/>
  <c r="G332" i="1"/>
  <c r="H332" i="1"/>
  <c r="E332" i="1"/>
  <c r="G328" i="1"/>
  <c r="E328" i="1"/>
  <c r="H328" i="1"/>
  <c r="H324" i="1"/>
  <c r="E324" i="1"/>
  <c r="G324" i="1"/>
  <c r="H320" i="1"/>
  <c r="G320" i="1"/>
  <c r="E320" i="1"/>
  <c r="G316" i="1"/>
  <c r="E316" i="1"/>
  <c r="H316" i="1"/>
  <c r="G312" i="1"/>
  <c r="H312" i="1"/>
  <c r="E312" i="1"/>
  <c r="H308" i="1"/>
  <c r="G308" i="1"/>
  <c r="E308" i="1"/>
  <c r="G358" i="1"/>
  <c r="G461" i="1"/>
  <c r="H461" i="1"/>
  <c r="E461" i="1"/>
  <c r="G453" i="1"/>
  <c r="H453" i="1"/>
  <c r="E453" i="1"/>
  <c r="G445" i="1"/>
  <c r="H445" i="1"/>
  <c r="E445" i="1"/>
  <c r="G437" i="1"/>
  <c r="H437" i="1"/>
  <c r="E437" i="1"/>
  <c r="G429" i="1"/>
  <c r="H429" i="1"/>
  <c r="E429" i="1"/>
  <c r="G421" i="1"/>
  <c r="H421" i="1"/>
  <c r="E421" i="1"/>
  <c r="G413" i="1"/>
  <c r="H413" i="1"/>
  <c r="E413" i="1"/>
  <c r="G405" i="1"/>
  <c r="H405" i="1"/>
  <c r="E405" i="1"/>
  <c r="G397" i="1"/>
  <c r="H397" i="1"/>
  <c r="E397" i="1"/>
  <c r="G389" i="1"/>
  <c r="H389" i="1"/>
  <c r="E389" i="1"/>
  <c r="G381" i="1"/>
  <c r="H381" i="1"/>
  <c r="E381" i="1"/>
  <c r="G365" i="1"/>
  <c r="H365" i="1"/>
  <c r="E365" i="1"/>
  <c r="G353" i="1"/>
  <c r="H353" i="1"/>
  <c r="E353" i="1"/>
  <c r="G341" i="1"/>
  <c r="H341" i="1"/>
  <c r="E341" i="1"/>
  <c r="G329" i="1"/>
  <c r="H329" i="1"/>
  <c r="E329" i="1"/>
  <c r="G313" i="1"/>
  <c r="H313" i="1"/>
  <c r="E313" i="1"/>
  <c r="H459" i="1"/>
  <c r="E459" i="1"/>
  <c r="G459" i="1"/>
  <c r="H451" i="1"/>
  <c r="G451" i="1"/>
  <c r="E451" i="1"/>
  <c r="H443" i="1"/>
  <c r="E443" i="1"/>
  <c r="H431" i="1"/>
  <c r="E431" i="1"/>
  <c r="G431" i="1"/>
  <c r="H423" i="1"/>
  <c r="G423" i="1"/>
  <c r="E423" i="1"/>
  <c r="H415" i="1"/>
  <c r="G415" i="1"/>
  <c r="E415" i="1"/>
  <c r="H407" i="1"/>
  <c r="G407" i="1"/>
  <c r="E407" i="1"/>
  <c r="H403" i="1"/>
  <c r="G403" i="1"/>
  <c r="E403" i="1"/>
  <c r="H399" i="1"/>
  <c r="E399" i="1"/>
  <c r="G399" i="1"/>
  <c r="H395" i="1"/>
  <c r="E395" i="1"/>
  <c r="G395" i="1"/>
  <c r="H391" i="1"/>
  <c r="G391" i="1"/>
  <c r="E391" i="1"/>
  <c r="H387" i="1"/>
  <c r="G387" i="1"/>
  <c r="E387" i="1"/>
  <c r="H383" i="1"/>
  <c r="G383" i="1"/>
  <c r="E383" i="1"/>
  <c r="H379" i="1"/>
  <c r="E379" i="1"/>
  <c r="H375" i="1"/>
  <c r="G375" i="1"/>
  <c r="E375" i="1"/>
  <c r="H371" i="1"/>
  <c r="G371" i="1"/>
  <c r="E371" i="1"/>
  <c r="H367" i="1"/>
  <c r="E367" i="1"/>
  <c r="G367" i="1"/>
  <c r="H363" i="1"/>
  <c r="E363" i="1"/>
  <c r="G363" i="1"/>
  <c r="H359" i="1"/>
  <c r="G359" i="1"/>
  <c r="E359" i="1"/>
  <c r="H355" i="1"/>
  <c r="G355" i="1"/>
  <c r="E355" i="1"/>
  <c r="H351" i="1"/>
  <c r="G351" i="1"/>
  <c r="E351" i="1"/>
  <c r="H347" i="1"/>
  <c r="E347" i="1"/>
  <c r="G347" i="1"/>
  <c r="H343" i="1"/>
  <c r="G343" i="1"/>
  <c r="E343" i="1"/>
  <c r="H339" i="1"/>
  <c r="G339" i="1"/>
  <c r="E339" i="1"/>
  <c r="H335" i="1"/>
  <c r="E335" i="1"/>
  <c r="G335" i="1"/>
  <c r="H331" i="1"/>
  <c r="E331" i="1"/>
  <c r="G331" i="1"/>
  <c r="H327" i="1"/>
  <c r="G327" i="1"/>
  <c r="E327" i="1"/>
  <c r="H323" i="1"/>
  <c r="G323" i="1"/>
  <c r="E323" i="1"/>
  <c r="H319" i="1"/>
  <c r="G319" i="1"/>
  <c r="E319" i="1"/>
  <c r="H315" i="1"/>
  <c r="E315" i="1"/>
  <c r="H311" i="1"/>
  <c r="G311" i="1"/>
  <c r="E311" i="1"/>
  <c r="H307" i="1"/>
  <c r="G307" i="1"/>
  <c r="E307" i="1"/>
  <c r="G422" i="1"/>
  <c r="G336" i="1"/>
  <c r="H392" i="1"/>
  <c r="G377" i="1"/>
  <c r="H377" i="1"/>
  <c r="E377" i="1"/>
  <c r="G369" i="1"/>
  <c r="H369" i="1"/>
  <c r="E369" i="1"/>
  <c r="G357" i="1"/>
  <c r="H357" i="1"/>
  <c r="E357" i="1"/>
  <c r="G345" i="1"/>
  <c r="H345" i="1"/>
  <c r="E345" i="1"/>
  <c r="G333" i="1"/>
  <c r="H333" i="1"/>
  <c r="E333" i="1"/>
  <c r="G325" i="1"/>
  <c r="H325" i="1"/>
  <c r="E325" i="1"/>
  <c r="G317" i="1"/>
  <c r="H317" i="1"/>
  <c r="E317" i="1"/>
  <c r="G309" i="1"/>
  <c r="H309" i="1"/>
  <c r="E309" i="1"/>
  <c r="H468" i="1"/>
  <c r="G468" i="1"/>
  <c r="E468" i="1"/>
  <c r="H464" i="1"/>
  <c r="E464" i="1"/>
  <c r="G456" i="1"/>
  <c r="E456" i="1"/>
  <c r="H448" i="1"/>
  <c r="G448" i="1"/>
  <c r="E448" i="1"/>
  <c r="G440" i="1"/>
  <c r="H440" i="1"/>
  <c r="E440" i="1"/>
  <c r="H467" i="1"/>
  <c r="G467" i="1"/>
  <c r="E467" i="1"/>
  <c r="H463" i="1"/>
  <c r="E463" i="1"/>
  <c r="G463" i="1"/>
  <c r="H455" i="1"/>
  <c r="G455" i="1"/>
  <c r="E455" i="1"/>
  <c r="H447" i="1"/>
  <c r="G447" i="1"/>
  <c r="E447" i="1"/>
  <c r="H439" i="1"/>
  <c r="G439" i="1"/>
  <c r="E439" i="1"/>
  <c r="H435" i="1"/>
  <c r="G435" i="1"/>
  <c r="E435" i="1"/>
  <c r="H427" i="1"/>
  <c r="E427" i="1"/>
  <c r="G427" i="1"/>
  <c r="H419" i="1"/>
  <c r="G419" i="1"/>
  <c r="E419" i="1"/>
  <c r="H411" i="1"/>
  <c r="E411" i="1"/>
  <c r="G411" i="1"/>
  <c r="G466" i="1"/>
  <c r="H466" i="1"/>
  <c r="E466" i="1"/>
  <c r="H462" i="1"/>
  <c r="G462" i="1"/>
  <c r="H458" i="1"/>
  <c r="G458" i="1"/>
  <c r="E458" i="1"/>
  <c r="G454" i="1"/>
  <c r="H454" i="1"/>
  <c r="G450" i="1"/>
  <c r="H450" i="1"/>
  <c r="E450" i="1"/>
  <c r="H446" i="1"/>
  <c r="G446" i="1"/>
  <c r="H442" i="1"/>
  <c r="E442" i="1"/>
  <c r="G442" i="1"/>
  <c r="H438" i="1"/>
  <c r="G438" i="1"/>
  <c r="G434" i="1"/>
  <c r="E434" i="1"/>
  <c r="H430" i="1"/>
  <c r="G430" i="1"/>
  <c r="H426" i="1"/>
  <c r="G426" i="1"/>
  <c r="E426" i="1"/>
  <c r="G418" i="1"/>
  <c r="H418" i="1"/>
  <c r="E418" i="1"/>
  <c r="H414" i="1"/>
  <c r="G414" i="1"/>
  <c r="H410" i="1"/>
  <c r="G410" i="1"/>
  <c r="E410" i="1"/>
  <c r="H406" i="1"/>
  <c r="G406" i="1"/>
  <c r="G402" i="1"/>
  <c r="H402" i="1"/>
  <c r="E402" i="1"/>
  <c r="H398" i="1"/>
  <c r="G398" i="1"/>
  <c r="H394" i="1"/>
  <c r="G394" i="1"/>
  <c r="E394" i="1"/>
  <c r="H390" i="1"/>
  <c r="G390" i="1"/>
  <c r="G386" i="1"/>
  <c r="H386" i="1"/>
  <c r="E386" i="1"/>
  <c r="H382" i="1"/>
  <c r="G382" i="1"/>
  <c r="H378" i="1"/>
  <c r="E378" i="1"/>
  <c r="G378" i="1"/>
  <c r="H374" i="1"/>
  <c r="G374" i="1"/>
  <c r="G370" i="1"/>
  <c r="H370" i="1"/>
  <c r="E370" i="1"/>
  <c r="H366" i="1"/>
  <c r="G366" i="1"/>
  <c r="H362" i="1"/>
  <c r="G362" i="1"/>
  <c r="E362" i="1"/>
  <c r="G354" i="1"/>
  <c r="H354" i="1"/>
  <c r="E354" i="1"/>
  <c r="H350" i="1"/>
  <c r="G350" i="1"/>
  <c r="H346" i="1"/>
  <c r="G346" i="1"/>
  <c r="E346" i="1"/>
  <c r="H342" i="1"/>
  <c r="G342" i="1"/>
  <c r="G338" i="1"/>
  <c r="E338" i="1"/>
  <c r="H338" i="1"/>
  <c r="H334" i="1"/>
  <c r="G334" i="1"/>
  <c r="H330" i="1"/>
  <c r="G330" i="1"/>
  <c r="E330" i="1"/>
  <c r="H326" i="1"/>
  <c r="G326" i="1"/>
  <c r="G322" i="1"/>
  <c r="H322" i="1"/>
  <c r="E322" i="1"/>
  <c r="H318" i="1"/>
  <c r="G318" i="1"/>
  <c r="H314" i="1"/>
  <c r="E314" i="1"/>
  <c r="G314" i="1"/>
  <c r="H310" i="1"/>
  <c r="G310" i="1"/>
  <c r="E462" i="1"/>
  <c r="E430" i="1"/>
  <c r="E398" i="1"/>
  <c r="E366" i="1"/>
  <c r="E334" i="1"/>
  <c r="G400" i="1"/>
  <c r="G315" i="1"/>
  <c r="H349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D56" i="1" l="1"/>
  <c r="C56" i="1"/>
  <c r="D55" i="1"/>
  <c r="C55" i="1"/>
  <c r="D54" i="1"/>
  <c r="C54" i="1"/>
  <c r="D53" i="1"/>
  <c r="C53" i="1"/>
  <c r="D52" i="1"/>
  <c r="C52" i="1"/>
  <c r="D51" i="1"/>
  <c r="C51" i="1"/>
  <c r="D50" i="1"/>
  <c r="C50" i="1"/>
  <c r="D49" i="1"/>
  <c r="C49" i="1"/>
  <c r="D48" i="1"/>
  <c r="C48" i="1"/>
  <c r="D47" i="1"/>
  <c r="C47" i="1"/>
  <c r="D46" i="1"/>
  <c r="C46" i="1"/>
  <c r="D45" i="1"/>
  <c r="C45" i="1"/>
  <c r="D44" i="1"/>
  <c r="C44" i="1"/>
  <c r="D43" i="1"/>
  <c r="C43" i="1"/>
  <c r="D42" i="1"/>
  <c r="C42" i="1"/>
  <c r="D41" i="1"/>
  <c r="C41" i="1"/>
  <c r="D40" i="1"/>
  <c r="C40" i="1"/>
  <c r="D39" i="1"/>
  <c r="C39" i="1"/>
  <c r="D38" i="1"/>
  <c r="C38" i="1"/>
  <c r="D37" i="1"/>
  <c r="C37" i="1"/>
  <c r="D36" i="1"/>
  <c r="C36" i="1"/>
  <c r="D35" i="1"/>
  <c r="C35" i="1"/>
  <c r="D34" i="1"/>
  <c r="C34" i="1"/>
  <c r="D33" i="1"/>
  <c r="C33" i="1"/>
  <c r="D32" i="1"/>
  <c r="C32" i="1"/>
  <c r="D31" i="1"/>
  <c r="C31" i="1"/>
  <c r="D30" i="1"/>
  <c r="C30" i="1"/>
  <c r="D29" i="1"/>
  <c r="C29" i="1"/>
  <c r="D28" i="1"/>
  <c r="C28" i="1"/>
  <c r="D27" i="1"/>
  <c r="C27" i="1"/>
  <c r="D26" i="1"/>
  <c r="C26" i="1"/>
  <c r="D25" i="1"/>
  <c r="C25" i="1"/>
  <c r="D24" i="1"/>
  <c r="C24" i="1"/>
  <c r="D23" i="1"/>
  <c r="C23" i="1"/>
  <c r="D22" i="1"/>
  <c r="C22" i="1"/>
  <c r="D21" i="1"/>
  <c r="C21" i="1"/>
  <c r="D20" i="1"/>
  <c r="C20" i="1"/>
  <c r="D19" i="1"/>
  <c r="C19" i="1"/>
  <c r="D18" i="1"/>
  <c r="C18" i="1"/>
  <c r="D17" i="1"/>
  <c r="C17" i="1"/>
  <c r="D16" i="1"/>
  <c r="C16" i="1"/>
  <c r="D15" i="1"/>
  <c r="C15" i="1"/>
  <c r="D14" i="1"/>
  <c r="C14" i="1"/>
  <c r="D13" i="1"/>
  <c r="C13" i="1"/>
  <c r="D12" i="1" l="1"/>
  <c r="C6" i="1"/>
  <c r="D8" i="1"/>
  <c r="C12" i="1"/>
  <c r="E12" i="1" s="1"/>
  <c r="D10" i="1"/>
  <c r="C5" i="1"/>
  <c r="C8" i="1"/>
  <c r="D2" i="1"/>
  <c r="C7" i="1"/>
  <c r="C4" i="1"/>
  <c r="D4" i="1"/>
  <c r="D6" i="1"/>
  <c r="C11" i="1"/>
  <c r="C3" i="1"/>
  <c r="C10" i="1"/>
  <c r="D9" i="1"/>
  <c r="C9" i="1"/>
  <c r="D5" i="1"/>
  <c r="D7" i="1"/>
  <c r="D3" i="1"/>
  <c r="F3" i="1" s="1"/>
  <c r="D11" i="1"/>
  <c r="C2" i="1"/>
  <c r="E24" i="1" s="1"/>
  <c r="F22" i="1" l="1"/>
  <c r="F6" i="1"/>
  <c r="F55" i="1"/>
  <c r="F31" i="1"/>
  <c r="F15" i="1"/>
  <c r="E35" i="1"/>
  <c r="F48" i="1"/>
  <c r="F24" i="1"/>
  <c r="E34" i="1"/>
  <c r="F18" i="1"/>
  <c r="F14" i="1"/>
  <c r="E8" i="1"/>
  <c r="F8" i="1"/>
  <c r="F53" i="1"/>
  <c r="F45" i="1"/>
  <c r="F37" i="1"/>
  <c r="F29" i="1"/>
  <c r="F21" i="1"/>
  <c r="F13" i="1"/>
  <c r="E49" i="1"/>
  <c r="E41" i="1"/>
  <c r="E33" i="1"/>
  <c r="E25" i="1"/>
  <c r="E17" i="1"/>
  <c r="F54" i="1"/>
  <c r="F46" i="1"/>
  <c r="F38" i="1"/>
  <c r="F30" i="1"/>
  <c r="E50" i="1"/>
  <c r="E28" i="1"/>
  <c r="E54" i="1"/>
  <c r="E26" i="1"/>
  <c r="E52" i="1"/>
  <c r="E30" i="1"/>
  <c r="F9" i="1"/>
  <c r="F2" i="1"/>
  <c r="F266" i="1"/>
  <c r="F214" i="1"/>
  <c r="F166" i="1"/>
  <c r="F118" i="1"/>
  <c r="F70" i="1"/>
  <c r="F286" i="1"/>
  <c r="F238" i="1"/>
  <c r="F194" i="1"/>
  <c r="F146" i="1"/>
  <c r="F98" i="1"/>
  <c r="F282" i="1"/>
  <c r="F234" i="1"/>
  <c r="F186" i="1"/>
  <c r="F138" i="1"/>
  <c r="F90" i="1"/>
  <c r="F293" i="1"/>
  <c r="F277" i="1"/>
  <c r="F261" i="1"/>
  <c r="F245" i="1"/>
  <c r="F229" i="1"/>
  <c r="F213" i="1"/>
  <c r="F197" i="1"/>
  <c r="F181" i="1"/>
  <c r="F165" i="1"/>
  <c r="F149" i="1"/>
  <c r="F133" i="1"/>
  <c r="F117" i="1"/>
  <c r="F101" i="1"/>
  <c r="F85" i="1"/>
  <c r="F69" i="1"/>
  <c r="F302" i="1"/>
  <c r="F254" i="1"/>
  <c r="F202" i="1"/>
  <c r="F154" i="1"/>
  <c r="F106" i="1"/>
  <c r="F58" i="1"/>
  <c r="F274" i="1"/>
  <c r="F226" i="1"/>
  <c r="F182" i="1"/>
  <c r="F134" i="1"/>
  <c r="F86" i="1"/>
  <c r="F270" i="1"/>
  <c r="F222" i="1"/>
  <c r="F174" i="1"/>
  <c r="F126" i="1"/>
  <c r="F74" i="1"/>
  <c r="F305" i="1"/>
  <c r="F289" i="1"/>
  <c r="F273" i="1"/>
  <c r="F257" i="1"/>
  <c r="F241" i="1"/>
  <c r="F225" i="1"/>
  <c r="F209" i="1"/>
  <c r="F193" i="1"/>
  <c r="F177" i="1"/>
  <c r="F161" i="1"/>
  <c r="F145" i="1"/>
  <c r="F129" i="1"/>
  <c r="F113" i="1"/>
  <c r="F97" i="1"/>
  <c r="F81" i="1"/>
  <c r="F65" i="1"/>
  <c r="F290" i="1"/>
  <c r="F242" i="1"/>
  <c r="F190" i="1"/>
  <c r="F142" i="1"/>
  <c r="F94" i="1"/>
  <c r="F262" i="1"/>
  <c r="F218" i="1"/>
  <c r="F170" i="1"/>
  <c r="F122" i="1"/>
  <c r="F78" i="1"/>
  <c r="F306" i="1"/>
  <c r="F258" i="1"/>
  <c r="F210" i="1"/>
  <c r="F162" i="1"/>
  <c r="F114" i="1"/>
  <c r="F62" i="1"/>
  <c r="F301" i="1"/>
  <c r="F285" i="1"/>
  <c r="F269" i="1"/>
  <c r="F253" i="1"/>
  <c r="F237" i="1"/>
  <c r="F221" i="1"/>
  <c r="F205" i="1"/>
  <c r="F189" i="1"/>
  <c r="F173" i="1"/>
  <c r="F157" i="1"/>
  <c r="F141" i="1"/>
  <c r="F125" i="1"/>
  <c r="F109" i="1"/>
  <c r="F93" i="1"/>
  <c r="F77" i="1"/>
  <c r="F130" i="1"/>
  <c r="F298" i="1"/>
  <c r="F110" i="1"/>
  <c r="F150" i="1"/>
  <c r="F281" i="1"/>
  <c r="F217" i="1"/>
  <c r="F153" i="1"/>
  <c r="F89" i="1"/>
  <c r="F304" i="1"/>
  <c r="F288" i="1"/>
  <c r="F272" i="1"/>
  <c r="F256" i="1"/>
  <c r="F240" i="1"/>
  <c r="F224" i="1"/>
  <c r="F208" i="1"/>
  <c r="F192" i="1"/>
  <c r="F176" i="1"/>
  <c r="F160" i="1"/>
  <c r="F144" i="1"/>
  <c r="F128" i="1"/>
  <c r="F112" i="1"/>
  <c r="F96" i="1"/>
  <c r="F80" i="1"/>
  <c r="F64" i="1"/>
  <c r="F303" i="1"/>
  <c r="F287" i="1"/>
  <c r="F271" i="1"/>
  <c r="F255" i="1"/>
  <c r="F239" i="1"/>
  <c r="F223" i="1"/>
  <c r="F207" i="1"/>
  <c r="F191" i="1"/>
  <c r="F175" i="1"/>
  <c r="F159" i="1"/>
  <c r="F143" i="1"/>
  <c r="F127" i="1"/>
  <c r="F111" i="1"/>
  <c r="F95" i="1"/>
  <c r="F79" i="1"/>
  <c r="F63" i="1"/>
  <c r="F278" i="1"/>
  <c r="F82" i="1"/>
  <c r="F250" i="1"/>
  <c r="F66" i="1"/>
  <c r="F294" i="1"/>
  <c r="F102" i="1"/>
  <c r="F265" i="1"/>
  <c r="F201" i="1"/>
  <c r="F137" i="1"/>
  <c r="F73" i="1"/>
  <c r="F300" i="1"/>
  <c r="F284" i="1"/>
  <c r="F268" i="1"/>
  <c r="F252" i="1"/>
  <c r="F236" i="1"/>
  <c r="F220" i="1"/>
  <c r="F204" i="1"/>
  <c r="F188" i="1"/>
  <c r="F172" i="1"/>
  <c r="F156" i="1"/>
  <c r="F140" i="1"/>
  <c r="F124" i="1"/>
  <c r="F108" i="1"/>
  <c r="F92" i="1"/>
  <c r="F76" i="1"/>
  <c r="F60" i="1"/>
  <c r="F299" i="1"/>
  <c r="F283" i="1"/>
  <c r="F267" i="1"/>
  <c r="F251" i="1"/>
  <c r="F235" i="1"/>
  <c r="F219" i="1"/>
  <c r="F203" i="1"/>
  <c r="F187" i="1"/>
  <c r="F171" i="1"/>
  <c r="F155" i="1"/>
  <c r="F139" i="1"/>
  <c r="F123" i="1"/>
  <c r="F107" i="1"/>
  <c r="F91" i="1"/>
  <c r="F75" i="1"/>
  <c r="F59" i="1"/>
  <c r="F230" i="1"/>
  <c r="F206" i="1"/>
  <c r="F246" i="1"/>
  <c r="F249" i="1"/>
  <c r="F185" i="1"/>
  <c r="F121" i="1"/>
  <c r="F61" i="1"/>
  <c r="F296" i="1"/>
  <c r="F280" i="1"/>
  <c r="F264" i="1"/>
  <c r="F248" i="1"/>
  <c r="F232" i="1"/>
  <c r="F216" i="1"/>
  <c r="F200" i="1"/>
  <c r="F184" i="1"/>
  <c r="F168" i="1"/>
  <c r="F152" i="1"/>
  <c r="F136" i="1"/>
  <c r="F120" i="1"/>
  <c r="F104" i="1"/>
  <c r="F88" i="1"/>
  <c r="F72" i="1"/>
  <c r="F295" i="1"/>
  <c r="F279" i="1"/>
  <c r="F263" i="1"/>
  <c r="F247" i="1"/>
  <c r="F231" i="1"/>
  <c r="F215" i="1"/>
  <c r="F199" i="1"/>
  <c r="F183" i="1"/>
  <c r="F167" i="1"/>
  <c r="F151" i="1"/>
  <c r="F135" i="1"/>
  <c r="F119" i="1"/>
  <c r="F103" i="1"/>
  <c r="F87" i="1"/>
  <c r="F71" i="1"/>
  <c r="F297" i="1"/>
  <c r="F57" i="1"/>
  <c r="F260" i="1"/>
  <c r="F196" i="1"/>
  <c r="F132" i="1"/>
  <c r="F68" i="1"/>
  <c r="F275" i="1"/>
  <c r="F211" i="1"/>
  <c r="F147" i="1"/>
  <c r="F83" i="1"/>
  <c r="F243" i="1"/>
  <c r="F276" i="1"/>
  <c r="F84" i="1"/>
  <c r="F227" i="1"/>
  <c r="F178" i="1"/>
  <c r="F233" i="1"/>
  <c r="F244" i="1"/>
  <c r="F180" i="1"/>
  <c r="F116" i="1"/>
  <c r="F259" i="1"/>
  <c r="F195" i="1"/>
  <c r="F131" i="1"/>
  <c r="F67" i="1"/>
  <c r="F179" i="1"/>
  <c r="F198" i="1"/>
  <c r="F105" i="1"/>
  <c r="F148" i="1"/>
  <c r="F163" i="1"/>
  <c r="F158" i="1"/>
  <c r="F169" i="1"/>
  <c r="F292" i="1"/>
  <c r="F228" i="1"/>
  <c r="F164" i="1"/>
  <c r="F100" i="1"/>
  <c r="F115" i="1"/>
  <c r="F212" i="1"/>
  <c r="F291" i="1"/>
  <c r="F99" i="1"/>
  <c r="F47" i="1"/>
  <c r="F23" i="1"/>
  <c r="E43" i="1"/>
  <c r="E27" i="1"/>
  <c r="F56" i="1"/>
  <c r="F32" i="1"/>
  <c r="E36" i="1"/>
  <c r="F7" i="1"/>
  <c r="F4" i="1"/>
  <c r="F5" i="1"/>
  <c r="E3" i="1"/>
  <c r="E4" i="1"/>
  <c r="E5" i="1"/>
  <c r="E6" i="1"/>
  <c r="F51" i="1"/>
  <c r="F43" i="1"/>
  <c r="F35" i="1"/>
  <c r="F27" i="1"/>
  <c r="F19" i="1"/>
  <c r="E55" i="1"/>
  <c r="E47" i="1"/>
  <c r="E39" i="1"/>
  <c r="E31" i="1"/>
  <c r="E23" i="1"/>
  <c r="E15" i="1"/>
  <c r="F52" i="1"/>
  <c r="F44" i="1"/>
  <c r="F36" i="1"/>
  <c r="F28" i="1"/>
  <c r="F20" i="1"/>
  <c r="E44" i="1"/>
  <c r="E22" i="1"/>
  <c r="E46" i="1"/>
  <c r="E20" i="1"/>
  <c r="G20" i="1" s="1"/>
  <c r="H20" i="1" s="1"/>
  <c r="E48" i="1"/>
  <c r="F39" i="1"/>
  <c r="E51" i="1"/>
  <c r="E19" i="1"/>
  <c r="G19" i="1" s="1"/>
  <c r="H19" i="1" s="1"/>
  <c r="F40" i="1"/>
  <c r="E56" i="1"/>
  <c r="E32" i="1"/>
  <c r="E10" i="1"/>
  <c r="E2" i="1"/>
  <c r="E300" i="1"/>
  <c r="E252" i="1"/>
  <c r="E204" i="1"/>
  <c r="E156" i="1"/>
  <c r="E108" i="1"/>
  <c r="E64" i="1"/>
  <c r="E279" i="1"/>
  <c r="E263" i="1"/>
  <c r="E247" i="1"/>
  <c r="E231" i="1"/>
  <c r="E215" i="1"/>
  <c r="G215" i="1" s="1"/>
  <c r="H215" i="1" s="1"/>
  <c r="E199" i="1"/>
  <c r="E183" i="1"/>
  <c r="E167" i="1"/>
  <c r="E151" i="1"/>
  <c r="G151" i="1" s="1"/>
  <c r="H151" i="1" s="1"/>
  <c r="E280" i="1"/>
  <c r="E232" i="1"/>
  <c r="E188" i="1"/>
  <c r="E140" i="1"/>
  <c r="E88" i="1"/>
  <c r="E299" i="1"/>
  <c r="E294" i="1"/>
  <c r="E278" i="1"/>
  <c r="G278" i="1" s="1"/>
  <c r="H278" i="1" s="1"/>
  <c r="E262" i="1"/>
  <c r="E246" i="1"/>
  <c r="E230" i="1"/>
  <c r="E214" i="1"/>
  <c r="G214" i="1" s="1"/>
  <c r="H214" i="1" s="1"/>
  <c r="E198" i="1"/>
  <c r="E182" i="1"/>
  <c r="E166" i="1"/>
  <c r="E150" i="1"/>
  <c r="G150" i="1" s="1"/>
  <c r="H150" i="1" s="1"/>
  <c r="E272" i="1"/>
  <c r="E224" i="1"/>
  <c r="E172" i="1"/>
  <c r="E128" i="1"/>
  <c r="G128" i="1" s="1"/>
  <c r="H128" i="1" s="1"/>
  <c r="E80" i="1"/>
  <c r="E291" i="1"/>
  <c r="E297" i="1"/>
  <c r="E281" i="1"/>
  <c r="E265" i="1"/>
  <c r="E249" i="1"/>
  <c r="E233" i="1"/>
  <c r="E217" i="1"/>
  <c r="G217" i="1" s="1"/>
  <c r="H217" i="1" s="1"/>
  <c r="E201" i="1"/>
  <c r="E185" i="1"/>
  <c r="E169" i="1"/>
  <c r="E153" i="1"/>
  <c r="G153" i="1" s="1"/>
  <c r="H153" i="1" s="1"/>
  <c r="E139" i="1"/>
  <c r="E123" i="1"/>
  <c r="E107" i="1"/>
  <c r="E91" i="1"/>
  <c r="G91" i="1" s="1"/>
  <c r="H91" i="1" s="1"/>
  <c r="E75" i="1"/>
  <c r="E59" i="1"/>
  <c r="E142" i="1"/>
  <c r="E126" i="1"/>
  <c r="G126" i="1" s="1"/>
  <c r="H126" i="1" s="1"/>
  <c r="E288" i="1"/>
  <c r="E240" i="1"/>
  <c r="E192" i="1"/>
  <c r="E144" i="1"/>
  <c r="G144" i="1" s="1"/>
  <c r="H144" i="1" s="1"/>
  <c r="E96" i="1"/>
  <c r="E275" i="1"/>
  <c r="E259" i="1"/>
  <c r="E243" i="1"/>
  <c r="G243" i="1" s="1"/>
  <c r="H243" i="1" s="1"/>
  <c r="E227" i="1"/>
  <c r="E211" i="1"/>
  <c r="E195" i="1"/>
  <c r="E179" i="1"/>
  <c r="G179" i="1" s="1"/>
  <c r="H179" i="1" s="1"/>
  <c r="E163" i="1"/>
  <c r="E147" i="1"/>
  <c r="E268" i="1"/>
  <c r="E220" i="1"/>
  <c r="G220" i="1" s="1"/>
  <c r="H220" i="1" s="1"/>
  <c r="E176" i="1"/>
  <c r="E124" i="1"/>
  <c r="E72" i="1"/>
  <c r="E287" i="1"/>
  <c r="G287" i="1" s="1"/>
  <c r="H287" i="1" s="1"/>
  <c r="E290" i="1"/>
  <c r="E274" i="1"/>
  <c r="E258" i="1"/>
  <c r="E242" i="1"/>
  <c r="G242" i="1" s="1"/>
  <c r="H242" i="1" s="1"/>
  <c r="E226" i="1"/>
  <c r="E210" i="1"/>
  <c r="E194" i="1"/>
  <c r="E178" i="1"/>
  <c r="G178" i="1" s="1"/>
  <c r="H178" i="1" s="1"/>
  <c r="E162" i="1"/>
  <c r="E146" i="1"/>
  <c r="E260" i="1"/>
  <c r="E212" i="1"/>
  <c r="G212" i="1" s="1"/>
  <c r="H212" i="1" s="1"/>
  <c r="E160" i="1"/>
  <c r="E116" i="1"/>
  <c r="E68" i="1"/>
  <c r="E306" i="1"/>
  <c r="E293" i="1"/>
  <c r="E277" i="1"/>
  <c r="E261" i="1"/>
  <c r="E245" i="1"/>
  <c r="G245" i="1" s="1"/>
  <c r="H245" i="1" s="1"/>
  <c r="E229" i="1"/>
  <c r="E213" i="1"/>
  <c r="E197" i="1"/>
  <c r="E181" i="1"/>
  <c r="G181" i="1" s="1"/>
  <c r="H181" i="1" s="1"/>
  <c r="E165" i="1"/>
  <c r="E149" i="1"/>
  <c r="E135" i="1"/>
  <c r="E119" i="1"/>
  <c r="G119" i="1" s="1"/>
  <c r="H119" i="1" s="1"/>
  <c r="E103" i="1"/>
  <c r="E87" i="1"/>
  <c r="E71" i="1"/>
  <c r="E276" i="1"/>
  <c r="G276" i="1" s="1"/>
  <c r="H276" i="1" s="1"/>
  <c r="E228" i="1"/>
  <c r="E180" i="1"/>
  <c r="E132" i="1"/>
  <c r="E84" i="1"/>
  <c r="E295" i="1"/>
  <c r="E271" i="1"/>
  <c r="E255" i="1"/>
  <c r="E239" i="1"/>
  <c r="G239" i="1" s="1"/>
  <c r="H239" i="1" s="1"/>
  <c r="E223" i="1"/>
  <c r="E207" i="1"/>
  <c r="E191" i="1"/>
  <c r="E175" i="1"/>
  <c r="G175" i="1" s="1"/>
  <c r="H175" i="1" s="1"/>
  <c r="E159" i="1"/>
  <c r="E304" i="1"/>
  <c r="E256" i="1"/>
  <c r="E208" i="1"/>
  <c r="G208" i="1" s="1"/>
  <c r="H208" i="1" s="1"/>
  <c r="E164" i="1"/>
  <c r="E112" i="1"/>
  <c r="E60" i="1"/>
  <c r="E302" i="1"/>
  <c r="E286" i="1"/>
  <c r="E270" i="1"/>
  <c r="E254" i="1"/>
  <c r="E238" i="1"/>
  <c r="G238" i="1" s="1"/>
  <c r="H238" i="1" s="1"/>
  <c r="E222" i="1"/>
  <c r="E206" i="1"/>
  <c r="E190" i="1"/>
  <c r="E174" i="1"/>
  <c r="G174" i="1" s="1"/>
  <c r="H174" i="1" s="1"/>
  <c r="E158" i="1"/>
  <c r="E296" i="1"/>
  <c r="E248" i="1"/>
  <c r="E200" i="1"/>
  <c r="G200" i="1" s="1"/>
  <c r="H200" i="1" s="1"/>
  <c r="E148" i="1"/>
  <c r="E104" i="1"/>
  <c r="E305" i="1"/>
  <c r="E289" i="1"/>
  <c r="E273" i="1"/>
  <c r="E257" i="1"/>
  <c r="E241" i="1"/>
  <c r="E225" i="1"/>
  <c r="G225" i="1" s="1"/>
  <c r="H225" i="1" s="1"/>
  <c r="E209" i="1"/>
  <c r="E193" i="1"/>
  <c r="E177" i="1"/>
  <c r="E161" i="1"/>
  <c r="E145" i="1"/>
  <c r="E131" i="1"/>
  <c r="E115" i="1"/>
  <c r="E99" i="1"/>
  <c r="G99" i="1" s="1"/>
  <c r="H99" i="1" s="1"/>
  <c r="E83" i="1"/>
  <c r="E67" i="1"/>
  <c r="E264" i="1"/>
  <c r="E76" i="1"/>
  <c r="G76" i="1" s="1"/>
  <c r="H76" i="1" s="1"/>
  <c r="E251" i="1"/>
  <c r="E187" i="1"/>
  <c r="E244" i="1"/>
  <c r="E266" i="1"/>
  <c r="G266" i="1" s="1"/>
  <c r="H266" i="1" s="1"/>
  <c r="E202" i="1"/>
  <c r="E284" i="1"/>
  <c r="E92" i="1"/>
  <c r="E285" i="1"/>
  <c r="G285" i="1" s="1"/>
  <c r="H285" i="1" s="1"/>
  <c r="E221" i="1"/>
  <c r="E157" i="1"/>
  <c r="E95" i="1"/>
  <c r="E138" i="1"/>
  <c r="G138" i="1" s="1"/>
  <c r="H138" i="1" s="1"/>
  <c r="E118" i="1"/>
  <c r="E102" i="1"/>
  <c r="E86" i="1"/>
  <c r="E70" i="1"/>
  <c r="G70" i="1" s="1"/>
  <c r="H70" i="1" s="1"/>
  <c r="E133" i="1"/>
  <c r="E117" i="1"/>
  <c r="E101" i="1"/>
  <c r="E85" i="1"/>
  <c r="E69" i="1"/>
  <c r="E216" i="1"/>
  <c r="E235" i="1"/>
  <c r="E171" i="1"/>
  <c r="G171" i="1" s="1"/>
  <c r="H171" i="1" s="1"/>
  <c r="E196" i="1"/>
  <c r="E250" i="1"/>
  <c r="E186" i="1"/>
  <c r="E236" i="1"/>
  <c r="E269" i="1"/>
  <c r="G269" i="1" s="1"/>
  <c r="H269" i="1" s="1"/>
  <c r="E205" i="1"/>
  <c r="E143" i="1"/>
  <c r="E79" i="1"/>
  <c r="E134" i="1"/>
  <c r="G134" i="1" s="1"/>
  <c r="H134" i="1" s="1"/>
  <c r="E114" i="1"/>
  <c r="E98" i="1"/>
  <c r="E82" i="1"/>
  <c r="E66" i="1"/>
  <c r="G66" i="1" s="1"/>
  <c r="H66" i="1" s="1"/>
  <c r="E129" i="1"/>
  <c r="E113" i="1"/>
  <c r="E97" i="1"/>
  <c r="E81" i="1"/>
  <c r="E65" i="1"/>
  <c r="E168" i="1"/>
  <c r="E283" i="1"/>
  <c r="G283" i="1" s="1"/>
  <c r="H283" i="1" s="1"/>
  <c r="E219" i="1"/>
  <c r="G219" i="1" s="1"/>
  <c r="H219" i="1" s="1"/>
  <c r="E155" i="1"/>
  <c r="E152" i="1"/>
  <c r="E298" i="1"/>
  <c r="G298" i="1" s="1"/>
  <c r="H298" i="1" s="1"/>
  <c r="E234" i="1"/>
  <c r="E170" i="1"/>
  <c r="E184" i="1"/>
  <c r="E303" i="1"/>
  <c r="G303" i="1" s="1"/>
  <c r="H303" i="1" s="1"/>
  <c r="E253" i="1"/>
  <c r="E189" i="1"/>
  <c r="E127" i="1"/>
  <c r="E63" i="1"/>
  <c r="E130" i="1"/>
  <c r="G130" i="1" s="1"/>
  <c r="H130" i="1" s="1"/>
  <c r="E110" i="1"/>
  <c r="E94" i="1"/>
  <c r="E78" i="1"/>
  <c r="G78" i="1" s="1"/>
  <c r="H78" i="1" s="1"/>
  <c r="E62" i="1"/>
  <c r="G62" i="1" s="1"/>
  <c r="H62" i="1" s="1"/>
  <c r="E141" i="1"/>
  <c r="E125" i="1"/>
  <c r="E109" i="1"/>
  <c r="G109" i="1" s="1"/>
  <c r="H109" i="1" s="1"/>
  <c r="E93" i="1"/>
  <c r="G93" i="1" s="1"/>
  <c r="H93" i="1" s="1"/>
  <c r="E77" i="1"/>
  <c r="E61" i="1"/>
  <c r="E120" i="1"/>
  <c r="G120" i="1" s="1"/>
  <c r="H120" i="1" s="1"/>
  <c r="E292" i="1"/>
  <c r="E218" i="1"/>
  <c r="E301" i="1"/>
  <c r="E74" i="1"/>
  <c r="G74" i="1" s="1"/>
  <c r="H74" i="1" s="1"/>
  <c r="E89" i="1"/>
  <c r="G89" i="1" s="1"/>
  <c r="H89" i="1" s="1"/>
  <c r="E282" i="1"/>
  <c r="E100" i="1"/>
  <c r="E154" i="1"/>
  <c r="E237" i="1"/>
  <c r="G237" i="1" s="1"/>
  <c r="H237" i="1" s="1"/>
  <c r="E122" i="1"/>
  <c r="E58" i="1"/>
  <c r="E137" i="1"/>
  <c r="G137" i="1" s="1"/>
  <c r="H137" i="1" s="1"/>
  <c r="E73" i="1"/>
  <c r="G73" i="1" s="1"/>
  <c r="H73" i="1" s="1"/>
  <c r="E203" i="1"/>
  <c r="E90" i="1"/>
  <c r="E105" i="1"/>
  <c r="E267" i="1"/>
  <c r="E136" i="1"/>
  <c r="E173" i="1"/>
  <c r="E106" i="1"/>
  <c r="E121" i="1"/>
  <c r="G121" i="1" s="1"/>
  <c r="H121" i="1" s="1"/>
  <c r="E57" i="1"/>
  <c r="E111" i="1"/>
  <c r="F11" i="1"/>
  <c r="E9" i="1"/>
  <c r="E11" i="1"/>
  <c r="E7" i="1"/>
  <c r="F10" i="1"/>
  <c r="F12" i="1"/>
  <c r="F49" i="1"/>
  <c r="F41" i="1"/>
  <c r="F33" i="1"/>
  <c r="G33" i="1" s="1"/>
  <c r="H33" i="1" s="1"/>
  <c r="F25" i="1"/>
  <c r="G25" i="1" s="1"/>
  <c r="H25" i="1" s="1"/>
  <c r="F17" i="1"/>
  <c r="E53" i="1"/>
  <c r="E45" i="1"/>
  <c r="G45" i="1" s="1"/>
  <c r="H45" i="1" s="1"/>
  <c r="E37" i="1"/>
  <c r="G37" i="1" s="1"/>
  <c r="H37" i="1" s="1"/>
  <c r="E29" i="1"/>
  <c r="E21" i="1"/>
  <c r="E13" i="1"/>
  <c r="F50" i="1"/>
  <c r="G50" i="1" s="1"/>
  <c r="H50" i="1" s="1"/>
  <c r="F42" i="1"/>
  <c r="F34" i="1"/>
  <c r="F26" i="1"/>
  <c r="G26" i="1" s="1"/>
  <c r="H26" i="1" s="1"/>
  <c r="F16" i="1"/>
  <c r="E40" i="1"/>
  <c r="E16" i="1"/>
  <c r="E38" i="1"/>
  <c r="G38" i="1" s="1"/>
  <c r="H38" i="1" s="1"/>
  <c r="E14" i="1"/>
  <c r="G14" i="1" s="1"/>
  <c r="H14" i="1" s="1"/>
  <c r="E42" i="1"/>
  <c r="E18" i="1"/>
  <c r="G59" i="1"/>
  <c r="H59" i="1" s="1"/>
  <c r="G75" i="1"/>
  <c r="H75" i="1" s="1"/>
  <c r="G123" i="1"/>
  <c r="H123" i="1" s="1"/>
  <c r="G155" i="1"/>
  <c r="H155" i="1" s="1"/>
  <c r="G187" i="1"/>
  <c r="H187" i="1" s="1"/>
  <c r="G64" i="1"/>
  <c r="H64" i="1" s="1"/>
  <c r="G96" i="1"/>
  <c r="H96" i="1" s="1"/>
  <c r="G112" i="1"/>
  <c r="H112" i="1" s="1"/>
  <c r="G160" i="1"/>
  <c r="H160" i="1" s="1"/>
  <c r="G57" i="1"/>
  <c r="H57" i="1" s="1"/>
  <c r="G106" i="1"/>
  <c r="H106" i="1" s="1"/>
  <c r="G162" i="1"/>
  <c r="H162" i="1" s="1"/>
  <c r="G193" i="1"/>
  <c r="H193" i="1" s="1"/>
  <c r="G230" i="1"/>
  <c r="H230" i="1" s="1"/>
  <c r="G246" i="1"/>
  <c r="H246" i="1" s="1"/>
  <c r="G294" i="1"/>
  <c r="H294" i="1" s="1"/>
  <c r="G32" i="1"/>
  <c r="H32" i="1" s="1"/>
  <c r="G48" i="1"/>
  <c r="H48" i="1" s="1"/>
  <c r="G273" i="1"/>
  <c r="H273" i="1" s="1"/>
  <c r="G35" i="1"/>
  <c r="H35" i="1" s="1"/>
  <c r="G94" i="1"/>
  <c r="H94" i="1" s="1"/>
  <c r="G157" i="1"/>
  <c r="H157" i="1" s="1"/>
  <c r="G210" i="1"/>
  <c r="H210" i="1" s="1"/>
  <c r="G275" i="1"/>
  <c r="H275" i="1" s="1"/>
  <c r="G291" i="1"/>
  <c r="H291" i="1" s="1"/>
  <c r="G13" i="1"/>
  <c r="H13" i="1" s="1"/>
  <c r="G265" i="1"/>
  <c r="H265" i="1" s="1"/>
  <c r="G15" i="1"/>
  <c r="H15" i="1" s="1"/>
  <c r="G201" i="1"/>
  <c r="H201" i="1" s="1"/>
  <c r="G252" i="1"/>
  <c r="H252" i="1" s="1"/>
  <c r="G268" i="1"/>
  <c r="H268" i="1" s="1"/>
  <c r="G284" i="1"/>
  <c r="H284" i="1" s="1"/>
  <c r="G54" i="1"/>
  <c r="H54" i="1" s="1"/>
  <c r="G293" i="1"/>
  <c r="H293" i="1" s="1"/>
  <c r="G39" i="1"/>
  <c r="H39" i="1" s="1"/>
  <c r="G79" i="1"/>
  <c r="H79" i="1" s="1"/>
  <c r="G95" i="1"/>
  <c r="H95" i="1" s="1"/>
  <c r="G111" i="1"/>
  <c r="H111" i="1" s="1"/>
  <c r="G143" i="1"/>
  <c r="H143" i="1" s="1"/>
  <c r="G159" i="1"/>
  <c r="H159" i="1" s="1"/>
  <c r="G191" i="1"/>
  <c r="H191" i="1" s="1"/>
  <c r="G68" i="1"/>
  <c r="H68" i="1" s="1"/>
  <c r="G84" i="1"/>
  <c r="H84" i="1" s="1"/>
  <c r="G100" i="1"/>
  <c r="H100" i="1" s="1"/>
  <c r="G116" i="1"/>
  <c r="H116" i="1" s="1"/>
  <c r="G132" i="1"/>
  <c r="H132" i="1" s="1"/>
  <c r="G164" i="1"/>
  <c r="H164" i="1" s="1"/>
  <c r="G180" i="1"/>
  <c r="H180" i="1" s="1"/>
  <c r="G61" i="1"/>
  <c r="H61" i="1" s="1"/>
  <c r="G125" i="1"/>
  <c r="H125" i="1" s="1"/>
  <c r="G58" i="1"/>
  <c r="H58" i="1" s="1"/>
  <c r="G122" i="1"/>
  <c r="H122" i="1" s="1"/>
  <c r="G170" i="1"/>
  <c r="H170" i="1" s="1"/>
  <c r="G198" i="1"/>
  <c r="H198" i="1" s="1"/>
  <c r="G218" i="1"/>
  <c r="H218" i="1" s="1"/>
  <c r="G250" i="1"/>
  <c r="H250" i="1" s="1"/>
  <c r="G282" i="1"/>
  <c r="H282" i="1" s="1"/>
  <c r="G36" i="1"/>
  <c r="H36" i="1" s="1"/>
  <c r="G52" i="1"/>
  <c r="H52" i="1" s="1"/>
  <c r="G177" i="1"/>
  <c r="H177" i="1" s="1"/>
  <c r="G47" i="1"/>
  <c r="H47" i="1" s="1"/>
  <c r="G165" i="1"/>
  <c r="H165" i="1" s="1"/>
  <c r="G247" i="1"/>
  <c r="H247" i="1" s="1"/>
  <c r="G263" i="1"/>
  <c r="H263" i="1" s="1"/>
  <c r="G279" i="1"/>
  <c r="H279" i="1" s="1"/>
  <c r="G17" i="1"/>
  <c r="H17" i="1" s="1"/>
  <c r="G49" i="1"/>
  <c r="H49" i="1" s="1"/>
  <c r="G229" i="1"/>
  <c r="H229" i="1" s="1"/>
  <c r="G31" i="1"/>
  <c r="H31" i="1" s="1"/>
  <c r="G146" i="1"/>
  <c r="H146" i="1" s="1"/>
  <c r="G182" i="1"/>
  <c r="H182" i="1" s="1"/>
  <c r="G206" i="1"/>
  <c r="H206" i="1" s="1"/>
  <c r="G224" i="1"/>
  <c r="H224" i="1" s="1"/>
  <c r="G240" i="1"/>
  <c r="H240" i="1" s="1"/>
  <c r="G256" i="1"/>
  <c r="H256" i="1" s="1"/>
  <c r="G272" i="1"/>
  <c r="H272" i="1" s="1"/>
  <c r="G288" i="1"/>
  <c r="H288" i="1" s="1"/>
  <c r="G304" i="1"/>
  <c r="H304" i="1" s="1"/>
  <c r="G42" i="1"/>
  <c r="H42" i="1" s="1"/>
  <c r="G257" i="1"/>
  <c r="H257" i="1" s="1"/>
  <c r="G305" i="1"/>
  <c r="H305" i="1" s="1"/>
  <c r="G51" i="1"/>
  <c r="H51" i="1" s="1"/>
  <c r="G67" i="1"/>
  <c r="H67" i="1" s="1"/>
  <c r="G131" i="1"/>
  <c r="H131" i="1" s="1"/>
  <c r="G163" i="1"/>
  <c r="H163" i="1" s="1"/>
  <c r="G195" i="1"/>
  <c r="H195" i="1" s="1"/>
  <c r="G72" i="1"/>
  <c r="H72" i="1" s="1"/>
  <c r="G104" i="1"/>
  <c r="H104" i="1" s="1"/>
  <c r="G136" i="1"/>
  <c r="H136" i="1" s="1"/>
  <c r="G168" i="1"/>
  <c r="H168" i="1" s="1"/>
  <c r="G65" i="1"/>
  <c r="H65" i="1" s="1"/>
  <c r="G97" i="1"/>
  <c r="H97" i="1" s="1"/>
  <c r="G129" i="1"/>
  <c r="H129" i="1" s="1"/>
  <c r="G254" i="1"/>
  <c r="H254" i="1" s="1"/>
  <c r="G286" i="1"/>
  <c r="H286" i="1" s="1"/>
  <c r="G24" i="1"/>
  <c r="H24" i="1" s="1"/>
  <c r="G173" i="1"/>
  <c r="H173" i="1" s="1"/>
  <c r="G251" i="1"/>
  <c r="H251" i="1" s="1"/>
  <c r="G21" i="1"/>
  <c r="H21" i="1" s="1"/>
  <c r="G53" i="1"/>
  <c r="H53" i="1" s="1"/>
  <c r="G241" i="1"/>
  <c r="H241" i="1" s="1"/>
  <c r="G43" i="1"/>
  <c r="H43" i="1" s="1"/>
  <c r="G46" i="1"/>
  <c r="H46" i="1" s="1"/>
  <c r="G221" i="1"/>
  <c r="H221" i="1" s="1"/>
  <c r="G135" i="1"/>
  <c r="H135" i="1" s="1"/>
  <c r="G167" i="1"/>
  <c r="H167" i="1" s="1"/>
  <c r="G199" i="1"/>
  <c r="H199" i="1" s="1"/>
  <c r="G108" i="1"/>
  <c r="H108" i="1" s="1"/>
  <c r="G140" i="1"/>
  <c r="H140" i="1" s="1"/>
  <c r="G172" i="1"/>
  <c r="H172" i="1" s="1"/>
  <c r="G69" i="1"/>
  <c r="H69" i="1" s="1"/>
  <c r="G133" i="1"/>
  <c r="H133" i="1" s="1"/>
  <c r="G226" i="1"/>
  <c r="H226" i="1" s="1"/>
  <c r="G258" i="1"/>
  <c r="H258" i="1" s="1"/>
  <c r="G290" i="1"/>
  <c r="H290" i="1" s="1"/>
  <c r="G28" i="1"/>
  <c r="H28" i="1" s="1"/>
  <c r="G102" i="1"/>
  <c r="H102" i="1" s="1"/>
  <c r="G261" i="1"/>
  <c r="H261" i="1" s="1"/>
  <c r="G223" i="1"/>
  <c r="H223" i="1" s="1"/>
  <c r="G255" i="1"/>
  <c r="H255" i="1" s="1"/>
  <c r="G86" i="1"/>
  <c r="H86" i="1" s="1"/>
  <c r="G253" i="1"/>
  <c r="H253" i="1" s="1"/>
  <c r="G55" i="1"/>
  <c r="H55" i="1" s="1"/>
  <c r="G166" i="1"/>
  <c r="H166" i="1" s="1"/>
  <c r="G216" i="1"/>
  <c r="H216" i="1" s="1"/>
  <c r="G248" i="1"/>
  <c r="H248" i="1" s="1"/>
  <c r="G280" i="1"/>
  <c r="H280" i="1" s="1"/>
  <c r="G233" i="1"/>
  <c r="H233" i="1" s="1"/>
  <c r="G27" i="1"/>
  <c r="H27" i="1" s="1"/>
  <c r="G83" i="1"/>
  <c r="H83" i="1" s="1"/>
  <c r="G147" i="1"/>
  <c r="H147" i="1" s="1"/>
  <c r="G211" i="1"/>
  <c r="H211" i="1" s="1"/>
  <c r="G184" i="1"/>
  <c r="H184" i="1" s="1"/>
  <c r="G113" i="1"/>
  <c r="H113" i="1" s="1"/>
  <c r="G302" i="1"/>
  <c r="H302" i="1" s="1"/>
  <c r="G197" i="1"/>
  <c r="H197" i="1" s="1"/>
  <c r="G235" i="1"/>
  <c r="H235" i="1" s="1"/>
  <c r="G299" i="1"/>
  <c r="H299" i="1" s="1"/>
  <c r="G98" i="1"/>
  <c r="H98" i="1" s="1"/>
  <c r="G228" i="1"/>
  <c r="H228" i="1" s="1"/>
  <c r="G292" i="1"/>
  <c r="H292" i="1" s="1"/>
  <c r="G118" i="1"/>
  <c r="H118" i="1" s="1"/>
  <c r="G270" i="1"/>
  <c r="H270" i="1" s="1"/>
  <c r="G297" i="1"/>
  <c r="H297" i="1" s="1"/>
  <c r="G289" i="1"/>
  <c r="H289" i="1" s="1"/>
  <c r="G260" i="1"/>
  <c r="H260" i="1" s="1"/>
  <c r="G183" i="1"/>
  <c r="H183" i="1" s="1"/>
  <c r="G156" i="1"/>
  <c r="H156" i="1" s="1"/>
  <c r="G274" i="1"/>
  <c r="H274" i="1" s="1"/>
  <c r="G271" i="1"/>
  <c r="H271" i="1" s="1"/>
  <c r="G301" i="1"/>
  <c r="H301" i="1" s="1"/>
  <c r="G264" i="1"/>
  <c r="H264" i="1" s="1"/>
  <c r="G281" i="1"/>
  <c r="H281" i="1" s="1"/>
  <c r="G87" i="1"/>
  <c r="H87" i="1" s="1"/>
  <c r="G60" i="1"/>
  <c r="H60" i="1" s="1"/>
  <c r="G124" i="1"/>
  <c r="H124" i="1" s="1"/>
  <c r="G188" i="1"/>
  <c r="H188" i="1" s="1"/>
  <c r="G117" i="1"/>
  <c r="H117" i="1" s="1"/>
  <c r="G306" i="1"/>
  <c r="H306" i="1" s="1"/>
  <c r="G142" i="1"/>
  <c r="H142" i="1" s="1"/>
  <c r="G202" i="1"/>
  <c r="H202" i="1" s="1"/>
  <c r="G114" i="1"/>
  <c r="H114" i="1" s="1"/>
  <c r="G296" i="1"/>
  <c r="H296" i="1" s="1"/>
  <c r="G169" i="1"/>
  <c r="H169" i="1" s="1"/>
  <c r="G152" i="1"/>
  <c r="H152" i="1" s="1"/>
  <c r="G145" i="1"/>
  <c r="H145" i="1" s="1"/>
  <c r="G40" i="1"/>
  <c r="H40" i="1" s="1"/>
  <c r="G190" i="1"/>
  <c r="H190" i="1" s="1"/>
  <c r="G30" i="1"/>
  <c r="H30" i="1" s="1"/>
  <c r="G92" i="1"/>
  <c r="H92" i="1" s="1"/>
  <c r="G85" i="1"/>
  <c r="H85" i="1" s="1"/>
  <c r="G209" i="1"/>
  <c r="H209" i="1" s="1"/>
  <c r="G44" i="1"/>
  <c r="H44" i="1" s="1"/>
  <c r="G41" i="1"/>
  <c r="H41" i="1" s="1"/>
  <c r="G34" i="1"/>
  <c r="H34" i="1" s="1"/>
  <c r="G5" i="1"/>
  <c r="H5" i="1" s="1"/>
  <c r="G8" i="1"/>
  <c r="H8" i="1" s="1"/>
  <c r="O7" i="1"/>
  <c r="O22" i="1" s="1"/>
  <c r="G7" i="1"/>
  <c r="H7" i="1" s="1"/>
  <c r="G3" i="1"/>
  <c r="H3" i="1" s="1"/>
  <c r="G16" i="1" l="1"/>
  <c r="H16" i="1" s="1"/>
  <c r="G196" i="1"/>
  <c r="H196" i="1" s="1"/>
  <c r="G204" i="1"/>
  <c r="H204" i="1" s="1"/>
  <c r="G88" i="1"/>
  <c r="H88" i="1" s="1"/>
  <c r="G232" i="1"/>
  <c r="H232" i="1" s="1"/>
  <c r="G23" i="1"/>
  <c r="H23" i="1" s="1"/>
  <c r="G267" i="1"/>
  <c r="H267" i="1" s="1"/>
  <c r="G185" i="1"/>
  <c r="H185" i="1" s="1"/>
  <c r="G101" i="1"/>
  <c r="H101" i="1" s="1"/>
  <c r="G244" i="1"/>
  <c r="H244" i="1" s="1"/>
  <c r="G249" i="1"/>
  <c r="H249" i="1" s="1"/>
  <c r="G82" i="1"/>
  <c r="H82" i="1" s="1"/>
  <c r="G161" i="1"/>
  <c r="H161" i="1" s="1"/>
  <c r="G295" i="1"/>
  <c r="H295" i="1" s="1"/>
  <c r="G231" i="1"/>
  <c r="H231" i="1" s="1"/>
  <c r="G110" i="1"/>
  <c r="H110" i="1" s="1"/>
  <c r="G234" i="1"/>
  <c r="H234" i="1" s="1"/>
  <c r="G207" i="1"/>
  <c r="H207" i="1" s="1"/>
  <c r="G22" i="1"/>
  <c r="H22" i="1" s="1"/>
  <c r="G29" i="1"/>
  <c r="H29" i="1" s="1"/>
  <c r="G259" i="1"/>
  <c r="H259" i="1" s="1"/>
  <c r="G189" i="1"/>
  <c r="H189" i="1" s="1"/>
  <c r="G262" i="1"/>
  <c r="H262" i="1" s="1"/>
  <c r="G80" i="1"/>
  <c r="H80" i="1" s="1"/>
  <c r="G107" i="1"/>
  <c r="H107" i="1" s="1"/>
  <c r="G6" i="1"/>
  <c r="H6" i="1" s="1"/>
  <c r="G9" i="1"/>
  <c r="H9" i="1" s="1"/>
  <c r="G205" i="1"/>
  <c r="H205" i="1" s="1"/>
  <c r="G115" i="1"/>
  <c r="H115" i="1" s="1"/>
  <c r="G154" i="1"/>
  <c r="H154" i="1" s="1"/>
  <c r="G18" i="1"/>
  <c r="H18" i="1" s="1"/>
  <c r="G186" i="1"/>
  <c r="H186" i="1" s="1"/>
  <c r="G103" i="1"/>
  <c r="H103" i="1" s="1"/>
  <c r="G56" i="1"/>
  <c r="H56" i="1" s="1"/>
  <c r="G222" i="1"/>
  <c r="H222" i="1" s="1"/>
  <c r="G127" i="1"/>
  <c r="H127" i="1" s="1"/>
  <c r="G63" i="1"/>
  <c r="H63" i="1" s="1"/>
  <c r="G192" i="1"/>
  <c r="H192" i="1" s="1"/>
  <c r="G300" i="1"/>
  <c r="H300" i="1" s="1"/>
  <c r="G236" i="1"/>
  <c r="H236" i="1" s="1"/>
  <c r="O14" i="1"/>
  <c r="O18" i="1" s="1"/>
  <c r="O26" i="1" s="1"/>
  <c r="G10" i="1"/>
  <c r="H10" i="1" s="1"/>
  <c r="G81" i="1"/>
  <c r="H81" i="1" s="1"/>
  <c r="G213" i="1"/>
  <c r="H213" i="1" s="1"/>
  <c r="G149" i="1"/>
  <c r="H149" i="1" s="1"/>
  <c r="G90" i="1"/>
  <c r="H90" i="1" s="1"/>
  <c r="G71" i="1"/>
  <c r="H71" i="1" s="1"/>
  <c r="G158" i="1"/>
  <c r="H158" i="1" s="1"/>
  <c r="G277" i="1"/>
  <c r="H277" i="1" s="1"/>
  <c r="G194" i="1"/>
  <c r="H194" i="1" s="1"/>
  <c r="G141" i="1"/>
  <c r="H141" i="1" s="1"/>
  <c r="G77" i="1"/>
  <c r="H77" i="1" s="1"/>
  <c r="G148" i="1"/>
  <c r="H148" i="1" s="1"/>
  <c r="G227" i="1"/>
  <c r="H227" i="1" s="1"/>
  <c r="G105" i="1"/>
  <c r="H105" i="1" s="1"/>
  <c r="G176" i="1"/>
  <c r="H176" i="1" s="1"/>
  <c r="G203" i="1"/>
  <c r="H203" i="1" s="1"/>
  <c r="G139" i="1"/>
  <c r="H139" i="1" s="1"/>
  <c r="G11" i="1"/>
  <c r="H11" i="1" s="1"/>
  <c r="G12" i="1"/>
  <c r="H12" i="1" s="1"/>
  <c r="G2" i="1"/>
  <c r="H2" i="1" s="1"/>
  <c r="G4" i="1"/>
  <c r="H4" i="1" s="1"/>
  <c r="O40" i="1" l="1"/>
  <c r="O28" i="1"/>
  <c r="O27" i="1"/>
</calcChain>
</file>

<file path=xl/sharedStrings.xml><?xml version="1.0" encoding="utf-8"?>
<sst xmlns="http://schemas.openxmlformats.org/spreadsheetml/2006/main" count="47" uniqueCount="44">
  <si>
    <t>x</t>
  </si>
  <si>
    <t>y</t>
  </si>
  <si>
    <t>n</t>
  </si>
  <si>
    <t>rs</t>
  </si>
  <si>
    <t>t</t>
  </si>
  <si>
    <t>df</t>
  </si>
  <si>
    <t>sig</t>
  </si>
  <si>
    <t>Step 1</t>
  </si>
  <si>
    <t>see columns C and D</t>
  </si>
  <si>
    <t>Step 2</t>
  </si>
  <si>
    <t>Determine the average rank for each variable</t>
  </si>
  <si>
    <t>see columns E and F</t>
  </si>
  <si>
    <t>Step 3</t>
  </si>
  <si>
    <t>Determine the Pearson correlation based on the ranks = Spearman rho</t>
  </si>
  <si>
    <t>Step 4</t>
  </si>
  <si>
    <t>Determine the t-value</t>
  </si>
  <si>
    <t>Step 5</t>
  </si>
  <si>
    <t>Determine the degrees of freedom</t>
  </si>
  <si>
    <t>Step 6</t>
  </si>
  <si>
    <t>Determine the significance</t>
  </si>
  <si>
    <r>
      <t>T.DIST.2T(ABS(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)</t>
    </r>
  </si>
  <si>
    <r>
      <t>TDIST(ABS(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;2)</t>
    </r>
  </si>
  <si>
    <r>
      <t>2*(1-T.DIST(ABS(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;TRUE))</t>
    </r>
  </si>
  <si>
    <t>Bonus</t>
  </si>
  <si>
    <t>Alternative method in case there are no ties for the coefficient</t>
  </si>
  <si>
    <t>Step A</t>
  </si>
  <si>
    <t>Determine the difference in rank for each pair</t>
  </si>
  <si>
    <t>See column G</t>
  </si>
  <si>
    <t>Step B</t>
  </si>
  <si>
    <t>Square the results from step A</t>
  </si>
  <si>
    <t>See column H</t>
  </si>
  <si>
    <t>Step C</t>
  </si>
  <si>
    <t>Determine Spearman's rho</t>
  </si>
  <si>
    <t>Remove cases for which one or both scores are missing, and determine nr. of pairs</t>
  </si>
  <si>
    <t>Spearman rank correlation coefficient (a.k.a. Spearman rho)</t>
  </si>
  <si>
    <t>example</t>
  </si>
  <si>
    <t>UDF</t>
  </si>
  <si>
    <r>
      <t>r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</si>
  <si>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vertAlign val="subscript"/>
        <sz val="11"/>
        <color theme="1"/>
        <rFont val="Calibri"/>
        <family val="2"/>
        <scheme val="minor"/>
      </rPr>
      <t>x</t>
    </r>
  </si>
  <si>
    <r>
      <t>R</t>
    </r>
    <r>
      <rPr>
        <vertAlign val="subscript"/>
        <sz val="11"/>
        <color theme="1"/>
        <rFont val="Calibri"/>
        <family val="2"/>
        <scheme val="minor"/>
      </rPr>
      <t>y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</si>
  <si>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</si>
  <si>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  <r>
      <rPr>
        <vertAlign val="superscript"/>
        <sz val="11"/>
        <color theme="1"/>
        <rFont val="Calibri"/>
        <family val="2"/>
        <scheme val="minor"/>
      </rPr>
      <t>2</t>
    </r>
  </si>
  <si>
    <t>Branch_Coverage</t>
  </si>
  <si>
    <t>Mutation_Score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</si>
</sst>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3" borderId="0" xfId="0" applyNumberForma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28575</xdr:colOff>
      <xdr:row>12</xdr:row>
      <xdr:rowOff>57150</xdr:rowOff>
    </xdr:from>
    <xdr:ext cx="848309" cy="3801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</a:t>
              </a:r>
              <a:r>
                <a:rPr lang="en-GB" sz="1100" b="0" i="0">
                  <a:latin typeface="Cambria Math" panose="02040503050406030204" pitchFamily="18" charset="0"/>
                </a:rPr>
                <a:t>=𝑠_(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𝑅_𝑥 𝑅_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 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𝑠_(𝑅_𝑥 )×𝑠_(𝑅_𝑦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38100</xdr:colOff>
      <xdr:row>16</xdr:row>
      <xdr:rowOff>0</xdr:rowOff>
    </xdr:from>
    <xdr:ext cx="103086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−2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sSubSup>
                              <m:sSub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  <m:sup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𝑟_𝑠×√((𝑛−2)/(1−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66675</xdr:colOff>
      <xdr:row>21</xdr:row>
      <xdr:rowOff>9525</xdr:rowOff>
    </xdr:from>
    <xdr:ext cx="708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𝑑𝑓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𝑛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𝑑𝑓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𝑛−2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39</xdr:row>
      <xdr:rowOff>0</xdr:rowOff>
    </xdr:from>
    <xdr:ext cx="912494" cy="369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Sup>
                              <m:sSub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e>
                        </m:nary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𝑟_𝑠</a:t>
              </a:r>
              <a:r>
                <a:rPr lang="en-GB" sz="1100" b="0" i="0">
                  <a:latin typeface="Cambria Math" panose="02040503050406030204" pitchFamily="18" charset="0"/>
                </a:rPr>
                <a:t>=(6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×∑▒</a:t>
              </a:r>
              <a:r>
                <a:rPr lang="en-GB" sz="1100" b="0" i="0">
                  <a:latin typeface="Cambria Math" panose="02040503050406030204" pitchFamily="18" charset="0"/>
                </a:rPr>
                <a:t>𝑑_𝑖^2 )/𝑛(𝑛^2−1)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468"/>
  <sheetViews>
    <sheetView tabSelected="1" topLeftCell="A13" workbookViewId="0">
      <selection activeCell="K14" sqref="K14"/>
    </sheetView>
  </sheetViews>
  <sheetFormatPr defaultRowHeight="15" x14ac:dyDescent="0.25"/>
  <cols>
    <col min="1" max="1" width="16.42578125" bestFit="1" customWidth="1"/>
    <col min="2" max="2" width="15.140625" bestFit="1" customWidth="1"/>
    <col min="11" max="11" width="10.85546875" customWidth="1"/>
    <col min="13" max="15" width="12" bestFit="1" customWidth="1"/>
  </cols>
  <sheetData>
    <row r="1" spans="1:15" ht="18.75" x14ac:dyDescent="0.35">
      <c r="A1" t="s">
        <v>42</v>
      </c>
      <c r="B1" t="s">
        <v>43</v>
      </c>
      <c r="C1" t="s">
        <v>0</v>
      </c>
      <c r="D1" t="s">
        <v>1</v>
      </c>
      <c r="E1" t="s">
        <v>38</v>
      </c>
      <c r="F1" t="s">
        <v>39</v>
      </c>
      <c r="G1" t="s">
        <v>40</v>
      </c>
      <c r="H1" t="s">
        <v>41</v>
      </c>
    </row>
    <row r="2" spans="1:15" ht="21" x14ac:dyDescent="0.35">
      <c r="A2">
        <v>86.666666666666671</v>
      </c>
      <c r="B2">
        <v>81.25</v>
      </c>
      <c r="C2" s="2">
        <f>IF(AND($A2&lt;&gt;"",$B2&lt;&gt;""),A2,"")</f>
        <v>86.666666666666671</v>
      </c>
      <c r="D2" s="2">
        <f t="shared" ref="D2:D65" si="0">IF(AND($A2&lt;&gt;"",$B2&lt;&gt;""),B2,"")</f>
        <v>81.25</v>
      </c>
      <c r="E2" s="2">
        <f>IF(C2="","",_xlfn.RANK.AVG(C2,C$2:C$468,1))</f>
        <v>158</v>
      </c>
      <c r="F2" s="2">
        <f>IF(D2="","",_xlfn.RANK.AVG(D2,D$2:D$468,1))</f>
        <v>162.5</v>
      </c>
      <c r="G2" s="2">
        <f>IF(C2="","",E2-F2)</f>
        <v>-4.5</v>
      </c>
      <c r="H2" s="2">
        <f>IF(C2="","",G2^2)</f>
        <v>20.25</v>
      </c>
      <c r="M2" s="6" t="s">
        <v>34</v>
      </c>
    </row>
    <row r="3" spans="1:15" x14ac:dyDescent="0.25">
      <c r="A3">
        <v>90</v>
      </c>
      <c r="B3">
        <v>100</v>
      </c>
      <c r="C3" s="2">
        <f t="shared" ref="C3:D66" si="1">IF(AND($A3&lt;&gt;"",$B3&lt;&gt;""),A3,"")</f>
        <v>90</v>
      </c>
      <c r="D3" s="2">
        <f t="shared" si="0"/>
        <v>100</v>
      </c>
      <c r="E3" s="2">
        <f t="shared" ref="E3:E66" si="2">IF(C3="","",_xlfn.RANK.AVG(C3,C$2:C$468,1))</f>
        <v>169</v>
      </c>
      <c r="F3" s="2">
        <f t="shared" ref="F3:F66" si="3">IF(D3="","",_xlfn.RANK.AVG(D3,D$2:D$468,1))</f>
        <v>265</v>
      </c>
      <c r="G3" s="2">
        <f t="shared" ref="G3:G66" si="4">IF(C3="","",E3-F3)</f>
        <v>-96</v>
      </c>
      <c r="H3" s="2">
        <f t="shared" ref="H3:H66" si="5">IF(C3="","",G3^2)</f>
        <v>9216</v>
      </c>
      <c r="M3" s="1" t="s">
        <v>35</v>
      </c>
    </row>
    <row r="4" spans="1:15" x14ac:dyDescent="0.25">
      <c r="A4">
        <v>0</v>
      </c>
      <c r="B4">
        <v>0</v>
      </c>
      <c r="C4" s="2">
        <f t="shared" si="1"/>
        <v>0</v>
      </c>
      <c r="D4" s="2">
        <f t="shared" si="0"/>
        <v>0</v>
      </c>
      <c r="E4" s="2">
        <f t="shared" si="2"/>
        <v>56.5</v>
      </c>
      <c r="F4" s="2">
        <f t="shared" si="3"/>
        <v>66.5</v>
      </c>
      <c r="G4" s="2">
        <f t="shared" si="4"/>
        <v>-10</v>
      </c>
      <c r="H4" s="2">
        <f t="shared" si="5"/>
        <v>100</v>
      </c>
    </row>
    <row r="5" spans="1:15" x14ac:dyDescent="0.25">
      <c r="A5">
        <v>100</v>
      </c>
      <c r="B5">
        <v>0</v>
      </c>
      <c r="C5" s="2">
        <f t="shared" si="1"/>
        <v>100</v>
      </c>
      <c r="D5" s="2">
        <f t="shared" si="0"/>
        <v>0</v>
      </c>
      <c r="E5" s="2">
        <f t="shared" si="2"/>
        <v>257.5</v>
      </c>
      <c r="F5" s="2">
        <f t="shared" si="3"/>
        <v>66.5</v>
      </c>
      <c r="G5" s="2">
        <f t="shared" si="4"/>
        <v>191</v>
      </c>
      <c r="H5" s="2">
        <f t="shared" si="5"/>
        <v>36481</v>
      </c>
      <c r="M5" s="3" t="s">
        <v>7</v>
      </c>
      <c r="N5" t="s">
        <v>33</v>
      </c>
    </row>
    <row r="6" spans="1:15" x14ac:dyDescent="0.25">
      <c r="A6">
        <v>77.777777777777786</v>
      </c>
      <c r="B6">
        <v>90.196078431372555</v>
      </c>
      <c r="C6" s="2">
        <f t="shared" si="1"/>
        <v>77.777777777777786</v>
      </c>
      <c r="D6" s="2">
        <f t="shared" si="0"/>
        <v>90.196078431372555</v>
      </c>
      <c r="E6" s="2">
        <f t="shared" si="2"/>
        <v>146</v>
      </c>
      <c r="F6" s="2">
        <f t="shared" si="3"/>
        <v>193</v>
      </c>
      <c r="G6" s="2">
        <f t="shared" si="4"/>
        <v>-47</v>
      </c>
      <c r="H6" s="2">
        <f t="shared" si="5"/>
        <v>2209</v>
      </c>
      <c r="N6" s="1" t="s">
        <v>8</v>
      </c>
    </row>
    <row r="7" spans="1:15" x14ac:dyDescent="0.25">
      <c r="A7">
        <v>92.857142857142861</v>
      </c>
      <c r="B7">
        <v>100</v>
      </c>
      <c r="C7" s="2">
        <f t="shared" si="1"/>
        <v>92.857142857142861</v>
      </c>
      <c r="D7" s="2">
        <f t="shared" si="0"/>
        <v>100</v>
      </c>
      <c r="E7" s="2">
        <f t="shared" si="2"/>
        <v>181</v>
      </c>
      <c r="F7" s="2">
        <f t="shared" si="3"/>
        <v>265</v>
      </c>
      <c r="G7" s="2">
        <f t="shared" si="4"/>
        <v>-84</v>
      </c>
      <c r="H7" s="2">
        <f t="shared" si="5"/>
        <v>7056</v>
      </c>
      <c r="N7" t="s">
        <v>2</v>
      </c>
      <c r="O7" s="2">
        <f>COUNT(C:C)</f>
        <v>305</v>
      </c>
    </row>
    <row r="8" spans="1:15" x14ac:dyDescent="0.25">
      <c r="A8">
        <v>100</v>
      </c>
      <c r="B8">
        <v>100</v>
      </c>
      <c r="C8" s="2">
        <f t="shared" si="1"/>
        <v>100</v>
      </c>
      <c r="D8" s="2">
        <f t="shared" si="0"/>
        <v>100</v>
      </c>
      <c r="E8" s="2">
        <f t="shared" si="2"/>
        <v>257.5</v>
      </c>
      <c r="F8" s="2">
        <f t="shared" si="3"/>
        <v>265</v>
      </c>
      <c r="G8" s="2">
        <f t="shared" si="4"/>
        <v>-7.5</v>
      </c>
      <c r="H8" s="2">
        <f t="shared" si="5"/>
        <v>56.25</v>
      </c>
    </row>
    <row r="9" spans="1:15" x14ac:dyDescent="0.25">
      <c r="A9">
        <v>78</v>
      </c>
      <c r="B9">
        <v>86.206896551724128</v>
      </c>
      <c r="C9" s="2">
        <f t="shared" si="1"/>
        <v>78</v>
      </c>
      <c r="D9" s="2">
        <f t="shared" si="0"/>
        <v>86.206896551724128</v>
      </c>
      <c r="E9" s="2">
        <f t="shared" si="2"/>
        <v>147</v>
      </c>
      <c r="F9" s="2">
        <f t="shared" si="3"/>
        <v>176</v>
      </c>
      <c r="G9" s="2">
        <f t="shared" si="4"/>
        <v>-29</v>
      </c>
      <c r="H9" s="2">
        <f t="shared" si="5"/>
        <v>841</v>
      </c>
      <c r="M9" s="3" t="s">
        <v>9</v>
      </c>
      <c r="N9" t="s">
        <v>10</v>
      </c>
    </row>
    <row r="10" spans="1:15" x14ac:dyDescent="0.25">
      <c r="A10">
        <v>78.260869565217391</v>
      </c>
      <c r="B10">
        <v>86.111111111111114</v>
      </c>
      <c r="C10" s="2">
        <f t="shared" si="1"/>
        <v>78.260869565217391</v>
      </c>
      <c r="D10" s="2">
        <f t="shared" si="0"/>
        <v>86.111111111111114</v>
      </c>
      <c r="E10" s="2">
        <f t="shared" si="2"/>
        <v>148</v>
      </c>
      <c r="F10" s="2">
        <f t="shared" si="3"/>
        <v>174.5</v>
      </c>
      <c r="G10" s="2">
        <f t="shared" si="4"/>
        <v>-26.5</v>
      </c>
      <c r="H10" s="2">
        <f t="shared" si="5"/>
        <v>702.25</v>
      </c>
      <c r="N10" s="1" t="s">
        <v>11</v>
      </c>
    </row>
    <row r="11" spans="1:15" x14ac:dyDescent="0.25">
      <c r="A11">
        <v>51.923076923076927</v>
      </c>
      <c r="B11">
        <v>44.871794871794876</v>
      </c>
      <c r="C11" s="2">
        <f t="shared" si="1"/>
        <v>51.923076923076927</v>
      </c>
      <c r="D11" s="2">
        <f t="shared" si="0"/>
        <v>44.871794871794876</v>
      </c>
      <c r="E11" s="2">
        <f t="shared" si="2"/>
        <v>127</v>
      </c>
      <c r="F11" s="2">
        <f t="shared" si="3"/>
        <v>147</v>
      </c>
      <c r="G11" s="2">
        <f t="shared" si="4"/>
        <v>-20</v>
      </c>
      <c r="H11" s="2">
        <f t="shared" si="5"/>
        <v>400</v>
      </c>
    </row>
    <row r="12" spans="1:15" x14ac:dyDescent="0.25">
      <c r="A12">
        <v>100</v>
      </c>
      <c r="B12">
        <v>100</v>
      </c>
      <c r="C12" s="2">
        <f t="shared" si="1"/>
        <v>100</v>
      </c>
      <c r="D12" s="2">
        <f t="shared" si="0"/>
        <v>100</v>
      </c>
      <c r="E12" s="2">
        <f t="shared" si="2"/>
        <v>257.5</v>
      </c>
      <c r="F12" s="2">
        <f t="shared" si="3"/>
        <v>265</v>
      </c>
      <c r="G12" s="2">
        <f t="shared" si="4"/>
        <v>-7.5</v>
      </c>
      <c r="H12" s="2">
        <f t="shared" si="5"/>
        <v>56.25</v>
      </c>
      <c r="M12" s="3" t="s">
        <v>12</v>
      </c>
      <c r="N12" t="s">
        <v>13</v>
      </c>
    </row>
    <row r="13" spans="1:15" x14ac:dyDescent="0.25">
      <c r="A13">
        <v>0</v>
      </c>
      <c r="B13">
        <v>0</v>
      </c>
      <c r="C13" s="2">
        <f t="shared" si="1"/>
        <v>0</v>
      </c>
      <c r="D13" s="2">
        <f t="shared" si="0"/>
        <v>0</v>
      </c>
      <c r="E13" s="2">
        <f t="shared" si="2"/>
        <v>56.5</v>
      </c>
      <c r="F13" s="2">
        <f t="shared" si="3"/>
        <v>66.5</v>
      </c>
      <c r="G13" s="2">
        <f t="shared" si="4"/>
        <v>-10</v>
      </c>
      <c r="H13" s="2">
        <f t="shared" si="5"/>
        <v>100</v>
      </c>
    </row>
    <row r="14" spans="1:15" ht="18" x14ac:dyDescent="0.35">
      <c r="A14">
        <v>100</v>
      </c>
      <c r="B14">
        <v>100</v>
      </c>
      <c r="C14" s="2">
        <f t="shared" si="1"/>
        <v>100</v>
      </c>
      <c r="D14" s="2">
        <f t="shared" si="0"/>
        <v>100</v>
      </c>
      <c r="E14" s="2">
        <f t="shared" si="2"/>
        <v>257.5</v>
      </c>
      <c r="F14" s="2">
        <f t="shared" si="3"/>
        <v>265</v>
      </c>
      <c r="G14" s="2">
        <f t="shared" si="4"/>
        <v>-7.5</v>
      </c>
      <c r="H14" s="2">
        <f t="shared" si="5"/>
        <v>56.25</v>
      </c>
      <c r="J14" s="4" t="s">
        <v>36</v>
      </c>
      <c r="K14" s="5">
        <f>SPEARMANRHO($A$2:$A$468,$B$2:$B$468,1)</f>
        <v>0.31669019026574191</v>
      </c>
      <c r="N14" t="s">
        <v>37</v>
      </c>
      <c r="O14" s="2">
        <f>CORREL(E:E,F:F)</f>
        <v>0.31669019026574197</v>
      </c>
    </row>
    <row r="15" spans="1:15" x14ac:dyDescent="0.25">
      <c r="A15">
        <v>0</v>
      </c>
      <c r="B15">
        <v>0</v>
      </c>
      <c r="C15" s="2">
        <f t="shared" si="1"/>
        <v>0</v>
      </c>
      <c r="D15" s="2">
        <f t="shared" si="0"/>
        <v>0</v>
      </c>
      <c r="E15" s="2">
        <f t="shared" si="2"/>
        <v>56.5</v>
      </c>
      <c r="F15" s="2">
        <f t="shared" si="3"/>
        <v>66.5</v>
      </c>
      <c r="G15" s="2">
        <f t="shared" si="4"/>
        <v>-10</v>
      </c>
      <c r="H15" s="2">
        <f t="shared" si="5"/>
        <v>100</v>
      </c>
    </row>
    <row r="16" spans="1:15" x14ac:dyDescent="0.25">
      <c r="A16">
        <v>90</v>
      </c>
      <c r="B16">
        <v>0</v>
      </c>
      <c r="C16" s="2">
        <f t="shared" si="1"/>
        <v>90</v>
      </c>
      <c r="D16" s="2">
        <f t="shared" si="0"/>
        <v>0</v>
      </c>
      <c r="E16" s="2">
        <f t="shared" si="2"/>
        <v>169</v>
      </c>
      <c r="F16" s="2">
        <f t="shared" si="3"/>
        <v>66.5</v>
      </c>
      <c r="G16" s="2">
        <f t="shared" si="4"/>
        <v>102.5</v>
      </c>
      <c r="H16" s="2">
        <f t="shared" si="5"/>
        <v>10506.25</v>
      </c>
      <c r="M16" s="3" t="s">
        <v>14</v>
      </c>
      <c r="N16" t="s">
        <v>15</v>
      </c>
    </row>
    <row r="17" spans="1:16" x14ac:dyDescent="0.25">
      <c r="A17">
        <v>100</v>
      </c>
      <c r="B17">
        <v>100</v>
      </c>
      <c r="C17" s="2">
        <f t="shared" si="1"/>
        <v>100</v>
      </c>
      <c r="D17" s="2">
        <f t="shared" si="0"/>
        <v>100</v>
      </c>
      <c r="E17" s="2">
        <f t="shared" si="2"/>
        <v>257.5</v>
      </c>
      <c r="F17" s="2">
        <f t="shared" si="3"/>
        <v>265</v>
      </c>
      <c r="G17" s="2">
        <f t="shared" si="4"/>
        <v>-7.5</v>
      </c>
      <c r="H17" s="2">
        <f t="shared" si="5"/>
        <v>56.25</v>
      </c>
    </row>
    <row r="18" spans="1:16" x14ac:dyDescent="0.25">
      <c r="A18">
        <v>91.666666666666657</v>
      </c>
      <c r="B18">
        <v>0</v>
      </c>
      <c r="C18" s="2">
        <f t="shared" si="1"/>
        <v>91.666666666666657</v>
      </c>
      <c r="D18" s="2">
        <f t="shared" si="0"/>
        <v>0</v>
      </c>
      <c r="E18" s="2">
        <f t="shared" si="2"/>
        <v>174</v>
      </c>
      <c r="F18" s="2">
        <f t="shared" si="3"/>
        <v>66.5</v>
      </c>
      <c r="G18" s="2">
        <f t="shared" si="4"/>
        <v>107.5</v>
      </c>
      <c r="H18" s="2">
        <f t="shared" si="5"/>
        <v>11556.25</v>
      </c>
      <c r="J18" s="4" t="s">
        <v>36</v>
      </c>
      <c r="K18" s="5">
        <f>SPEARMANRHO($A$2:$A$468,$B$2:$B$468,2)</f>
        <v>5.8117282295127994</v>
      </c>
      <c r="N18" t="s">
        <v>4</v>
      </c>
      <c r="O18" s="2">
        <f>O14*SQRT((O7-2)/(1-O14^2))</f>
        <v>5.8117282295128003</v>
      </c>
    </row>
    <row r="19" spans="1:16" x14ac:dyDescent="0.25">
      <c r="A19">
        <v>88.888888888888886</v>
      </c>
      <c r="B19">
        <v>0</v>
      </c>
      <c r="C19" s="2">
        <f t="shared" si="1"/>
        <v>88.888888888888886</v>
      </c>
      <c r="D19" s="2">
        <f t="shared" si="0"/>
        <v>0</v>
      </c>
      <c r="E19" s="2">
        <f t="shared" si="2"/>
        <v>166.5</v>
      </c>
      <c r="F19" s="2">
        <f t="shared" si="3"/>
        <v>66.5</v>
      </c>
      <c r="G19" s="2">
        <f t="shared" si="4"/>
        <v>100</v>
      </c>
      <c r="H19" s="2">
        <f t="shared" si="5"/>
        <v>10000</v>
      </c>
    </row>
    <row r="20" spans="1:16" x14ac:dyDescent="0.25">
      <c r="A20">
        <v>0</v>
      </c>
      <c r="B20">
        <v>0</v>
      </c>
      <c r="C20" s="2">
        <f t="shared" si="1"/>
        <v>0</v>
      </c>
      <c r="D20" s="2">
        <f t="shared" si="0"/>
        <v>0</v>
      </c>
      <c r="E20" s="2">
        <f t="shared" si="2"/>
        <v>56.5</v>
      </c>
      <c r="F20" s="2">
        <f t="shared" si="3"/>
        <v>66.5</v>
      </c>
      <c r="G20" s="2">
        <f t="shared" si="4"/>
        <v>-10</v>
      </c>
      <c r="H20" s="2">
        <f t="shared" si="5"/>
        <v>100</v>
      </c>
      <c r="M20" s="3" t="s">
        <v>16</v>
      </c>
      <c r="N20" t="s">
        <v>17</v>
      </c>
    </row>
    <row r="21" spans="1:16" x14ac:dyDescent="0.25">
      <c r="A21">
        <v>0</v>
      </c>
      <c r="B21">
        <v>0</v>
      </c>
      <c r="C21" s="2">
        <f t="shared" si="1"/>
        <v>0</v>
      </c>
      <c r="D21" s="2">
        <f t="shared" si="0"/>
        <v>0</v>
      </c>
      <c r="E21" s="2">
        <f t="shared" si="2"/>
        <v>56.5</v>
      </c>
      <c r="F21" s="2">
        <f t="shared" si="3"/>
        <v>66.5</v>
      </c>
      <c r="G21" s="2">
        <f t="shared" si="4"/>
        <v>-10</v>
      </c>
      <c r="H21" s="2">
        <f t="shared" si="5"/>
        <v>100</v>
      </c>
    </row>
    <row r="22" spans="1:16" x14ac:dyDescent="0.25">
      <c r="A22">
        <v>100</v>
      </c>
      <c r="B22">
        <v>0</v>
      </c>
      <c r="C22" s="2">
        <f t="shared" si="1"/>
        <v>100</v>
      </c>
      <c r="D22" s="2">
        <f t="shared" si="0"/>
        <v>0</v>
      </c>
      <c r="E22" s="2">
        <f t="shared" si="2"/>
        <v>257.5</v>
      </c>
      <c r="F22" s="2">
        <f t="shared" si="3"/>
        <v>66.5</v>
      </c>
      <c r="G22" s="2">
        <f t="shared" si="4"/>
        <v>191</v>
      </c>
      <c r="H22" s="2">
        <f t="shared" si="5"/>
        <v>36481</v>
      </c>
      <c r="J22" s="4" t="s">
        <v>36</v>
      </c>
      <c r="K22" s="5">
        <f>SPEARMANRHO($A$2:$A$468,$B$2:$B$468,3)</f>
        <v>303</v>
      </c>
      <c r="N22" t="s">
        <v>5</v>
      </c>
      <c r="O22" s="2">
        <f>O7-2</f>
        <v>303</v>
      </c>
    </row>
    <row r="23" spans="1:16" x14ac:dyDescent="0.25">
      <c r="A23">
        <v>95.454545454545453</v>
      </c>
      <c r="B23">
        <v>82.317073170731703</v>
      </c>
      <c r="C23" s="2">
        <f t="shared" si="1"/>
        <v>95.454545454545453</v>
      </c>
      <c r="D23" s="2">
        <f t="shared" si="0"/>
        <v>82.317073170731703</v>
      </c>
      <c r="E23" s="2">
        <f t="shared" si="2"/>
        <v>197.5</v>
      </c>
      <c r="F23" s="2">
        <f t="shared" si="3"/>
        <v>166</v>
      </c>
      <c r="G23" s="2">
        <f t="shared" si="4"/>
        <v>31.5</v>
      </c>
      <c r="H23" s="2">
        <f t="shared" si="5"/>
        <v>992.25</v>
      </c>
    </row>
    <row r="24" spans="1:16" x14ac:dyDescent="0.25">
      <c r="A24">
        <v>90</v>
      </c>
      <c r="B24">
        <v>85</v>
      </c>
      <c r="C24" s="2">
        <f t="shared" si="1"/>
        <v>90</v>
      </c>
      <c r="D24" s="2">
        <f t="shared" si="0"/>
        <v>85</v>
      </c>
      <c r="E24" s="2">
        <f t="shared" si="2"/>
        <v>169</v>
      </c>
      <c r="F24" s="2">
        <f t="shared" si="3"/>
        <v>172</v>
      </c>
      <c r="G24" s="2">
        <f t="shared" si="4"/>
        <v>-3</v>
      </c>
      <c r="H24" s="2">
        <f t="shared" si="5"/>
        <v>9</v>
      </c>
      <c r="M24" s="3" t="s">
        <v>18</v>
      </c>
      <c r="N24" t="s">
        <v>19</v>
      </c>
    </row>
    <row r="25" spans="1:16" x14ac:dyDescent="0.25">
      <c r="A25">
        <v>30</v>
      </c>
      <c r="B25">
        <v>0</v>
      </c>
      <c r="C25" s="2">
        <f t="shared" si="1"/>
        <v>30</v>
      </c>
      <c r="D25" s="2">
        <f t="shared" si="0"/>
        <v>0</v>
      </c>
      <c r="E25" s="2">
        <f t="shared" si="2"/>
        <v>116</v>
      </c>
      <c r="F25" s="2">
        <f t="shared" si="3"/>
        <v>66.5</v>
      </c>
      <c r="G25" s="2">
        <f t="shared" si="4"/>
        <v>49.5</v>
      </c>
      <c r="H25" s="2">
        <f t="shared" si="5"/>
        <v>2450.25</v>
      </c>
    </row>
    <row r="26" spans="1:16" x14ac:dyDescent="0.25">
      <c r="A26">
        <v>25</v>
      </c>
      <c r="B26">
        <v>0</v>
      </c>
      <c r="C26" s="2">
        <f t="shared" si="1"/>
        <v>25</v>
      </c>
      <c r="D26" s="2">
        <f t="shared" si="0"/>
        <v>0</v>
      </c>
      <c r="E26" s="2">
        <f t="shared" si="2"/>
        <v>114.5</v>
      </c>
      <c r="F26" s="2">
        <f t="shared" si="3"/>
        <v>66.5</v>
      </c>
      <c r="G26" s="2">
        <f t="shared" si="4"/>
        <v>48</v>
      </c>
      <c r="H26" s="2">
        <f t="shared" si="5"/>
        <v>2304</v>
      </c>
      <c r="J26" s="4" t="s">
        <v>36</v>
      </c>
      <c r="K26" s="5">
        <f>SPEARMANRHO($A$2:$A$468,$B$2:$B468)</f>
        <v>1.5653551183978751E-8</v>
      </c>
      <c r="N26" t="s">
        <v>6</v>
      </c>
      <c r="O26" s="2">
        <f>_xlfn.T.DIST.2T(ABS(O18),O22)</f>
        <v>1.5653551183978751E-8</v>
      </c>
      <c r="P26" t="s">
        <v>20</v>
      </c>
    </row>
    <row r="27" spans="1:16" x14ac:dyDescent="0.25">
      <c r="A27">
        <v>25</v>
      </c>
      <c r="B27">
        <v>0</v>
      </c>
      <c r="C27" s="2">
        <f t="shared" si="1"/>
        <v>25</v>
      </c>
      <c r="D27" s="2">
        <f t="shared" si="0"/>
        <v>0</v>
      </c>
      <c r="E27" s="2">
        <f t="shared" si="2"/>
        <v>114.5</v>
      </c>
      <c r="F27" s="2">
        <f t="shared" si="3"/>
        <v>66.5</v>
      </c>
      <c r="G27" s="2">
        <f t="shared" si="4"/>
        <v>48</v>
      </c>
      <c r="H27" s="2">
        <f t="shared" si="5"/>
        <v>2304</v>
      </c>
      <c r="O27" s="2">
        <f>TDIST(ABS(O18),O22,2)</f>
        <v>1.5653551183978751E-8</v>
      </c>
      <c r="P27" t="s">
        <v>21</v>
      </c>
    </row>
    <row r="28" spans="1:16" x14ac:dyDescent="0.25">
      <c r="A28">
        <v>0</v>
      </c>
      <c r="B28">
        <v>0</v>
      </c>
      <c r="C28" s="2">
        <f t="shared" si="1"/>
        <v>0</v>
      </c>
      <c r="D28" s="2">
        <f t="shared" si="0"/>
        <v>0</v>
      </c>
      <c r="E28" s="2">
        <f t="shared" si="2"/>
        <v>56.5</v>
      </c>
      <c r="F28" s="2">
        <f t="shared" si="3"/>
        <v>66.5</v>
      </c>
      <c r="G28" s="2">
        <f t="shared" si="4"/>
        <v>-10</v>
      </c>
      <c r="H28" s="2">
        <f t="shared" si="5"/>
        <v>100</v>
      </c>
      <c r="O28" s="2">
        <f>2*(1-_xlfn.T.DIST(ABS(O18),O22,TRUE))</f>
        <v>1.5653551121985743E-8</v>
      </c>
      <c r="P28" t="s">
        <v>22</v>
      </c>
    </row>
    <row r="29" spans="1:16" x14ac:dyDescent="0.25">
      <c r="A29">
        <v>62.5</v>
      </c>
      <c r="B29">
        <v>0</v>
      </c>
      <c r="C29" s="2">
        <f t="shared" si="1"/>
        <v>62.5</v>
      </c>
      <c r="D29" s="2">
        <f t="shared" si="0"/>
        <v>0</v>
      </c>
      <c r="E29" s="2">
        <f t="shared" si="2"/>
        <v>133.5</v>
      </c>
      <c r="F29" s="2">
        <f t="shared" si="3"/>
        <v>66.5</v>
      </c>
      <c r="G29" s="2">
        <f t="shared" si="4"/>
        <v>67</v>
      </c>
      <c r="H29" s="2">
        <f t="shared" si="5"/>
        <v>4489</v>
      </c>
    </row>
    <row r="30" spans="1:16" x14ac:dyDescent="0.25">
      <c r="A30">
        <v>57.142857142857139</v>
      </c>
      <c r="B30">
        <v>0</v>
      </c>
      <c r="C30" s="2">
        <f t="shared" si="1"/>
        <v>57.142857142857139</v>
      </c>
      <c r="D30" s="2">
        <f t="shared" si="0"/>
        <v>0</v>
      </c>
      <c r="E30" s="2">
        <f t="shared" si="2"/>
        <v>129.5</v>
      </c>
      <c r="F30" s="2">
        <f t="shared" si="3"/>
        <v>66.5</v>
      </c>
      <c r="G30" s="2">
        <f t="shared" si="4"/>
        <v>63</v>
      </c>
      <c r="H30" s="2">
        <f t="shared" si="5"/>
        <v>3969</v>
      </c>
      <c r="M30" s="3" t="s">
        <v>23</v>
      </c>
      <c r="N30" s="3" t="s">
        <v>24</v>
      </c>
    </row>
    <row r="31" spans="1:16" x14ac:dyDescent="0.25">
      <c r="A31">
        <v>95</v>
      </c>
      <c r="B31">
        <v>0</v>
      </c>
      <c r="C31" s="2">
        <f t="shared" si="1"/>
        <v>95</v>
      </c>
      <c r="D31" s="2">
        <f t="shared" si="0"/>
        <v>0</v>
      </c>
      <c r="E31" s="2">
        <f t="shared" si="2"/>
        <v>192</v>
      </c>
      <c r="F31" s="2">
        <f t="shared" si="3"/>
        <v>66.5</v>
      </c>
      <c r="G31" s="2">
        <f t="shared" si="4"/>
        <v>125.5</v>
      </c>
      <c r="H31" s="2">
        <f t="shared" si="5"/>
        <v>15750.25</v>
      </c>
    </row>
    <row r="32" spans="1:16" x14ac:dyDescent="0.25">
      <c r="A32">
        <v>0</v>
      </c>
      <c r="B32">
        <v>0</v>
      </c>
      <c r="C32" s="2">
        <f t="shared" si="1"/>
        <v>0</v>
      </c>
      <c r="D32" s="2">
        <f t="shared" si="0"/>
        <v>0</v>
      </c>
      <c r="E32" s="2">
        <f t="shared" si="2"/>
        <v>56.5</v>
      </c>
      <c r="F32" s="2">
        <f t="shared" si="3"/>
        <v>66.5</v>
      </c>
      <c r="G32" s="2">
        <f t="shared" si="4"/>
        <v>-10</v>
      </c>
      <c r="H32" s="2">
        <f t="shared" si="5"/>
        <v>100</v>
      </c>
      <c r="M32" t="s">
        <v>25</v>
      </c>
      <c r="N32" t="s">
        <v>26</v>
      </c>
    </row>
    <row r="33" spans="1:15" x14ac:dyDescent="0.25">
      <c r="A33">
        <v>97.058823529411768</v>
      </c>
      <c r="B33">
        <v>89.285714285714292</v>
      </c>
      <c r="C33" s="2">
        <f t="shared" si="1"/>
        <v>97.058823529411768</v>
      </c>
      <c r="D33" s="2">
        <f t="shared" si="0"/>
        <v>89.285714285714292</v>
      </c>
      <c r="E33" s="2">
        <f t="shared" si="2"/>
        <v>203</v>
      </c>
      <c r="F33" s="2">
        <f t="shared" si="3"/>
        <v>186</v>
      </c>
      <c r="G33" s="2">
        <f t="shared" si="4"/>
        <v>17</v>
      </c>
      <c r="H33" s="2">
        <f t="shared" si="5"/>
        <v>289</v>
      </c>
      <c r="N33" s="1" t="s">
        <v>27</v>
      </c>
    </row>
    <row r="34" spans="1:15" x14ac:dyDescent="0.25">
      <c r="A34">
        <v>40</v>
      </c>
      <c r="B34">
        <v>0</v>
      </c>
      <c r="C34" s="2">
        <f t="shared" si="1"/>
        <v>40</v>
      </c>
      <c r="D34" s="2">
        <f t="shared" si="0"/>
        <v>0</v>
      </c>
      <c r="E34" s="2">
        <f t="shared" si="2"/>
        <v>121</v>
      </c>
      <c r="F34" s="2">
        <f t="shared" si="3"/>
        <v>66.5</v>
      </c>
      <c r="G34" s="2">
        <f t="shared" si="4"/>
        <v>54.5</v>
      </c>
      <c r="H34" s="2">
        <f t="shared" si="5"/>
        <v>2970.25</v>
      </c>
    </row>
    <row r="35" spans="1:15" x14ac:dyDescent="0.25">
      <c r="A35">
        <v>100</v>
      </c>
      <c r="B35">
        <v>100</v>
      </c>
      <c r="C35" s="2">
        <f t="shared" si="1"/>
        <v>100</v>
      </c>
      <c r="D35" s="2">
        <f t="shared" si="0"/>
        <v>100</v>
      </c>
      <c r="E35" s="2">
        <f t="shared" si="2"/>
        <v>257.5</v>
      </c>
      <c r="F35" s="2">
        <f t="shared" si="3"/>
        <v>265</v>
      </c>
      <c r="G35" s="2">
        <f t="shared" si="4"/>
        <v>-7.5</v>
      </c>
      <c r="H35" s="2">
        <f t="shared" si="5"/>
        <v>56.25</v>
      </c>
      <c r="M35" t="s">
        <v>28</v>
      </c>
      <c r="N35" t="s">
        <v>29</v>
      </c>
    </row>
    <row r="36" spans="1:15" x14ac:dyDescent="0.25">
      <c r="A36">
        <v>100</v>
      </c>
      <c r="B36">
        <v>0</v>
      </c>
      <c r="C36" s="2">
        <f t="shared" si="1"/>
        <v>100</v>
      </c>
      <c r="D36" s="2">
        <f t="shared" si="0"/>
        <v>0</v>
      </c>
      <c r="E36" s="2">
        <f t="shared" si="2"/>
        <v>257.5</v>
      </c>
      <c r="F36" s="2">
        <f t="shared" si="3"/>
        <v>66.5</v>
      </c>
      <c r="G36" s="2">
        <f t="shared" si="4"/>
        <v>191</v>
      </c>
      <c r="H36" s="2">
        <f t="shared" si="5"/>
        <v>36481</v>
      </c>
      <c r="N36" s="1" t="s">
        <v>30</v>
      </c>
    </row>
    <row r="37" spans="1:15" x14ac:dyDescent="0.25">
      <c r="A37">
        <v>0</v>
      </c>
      <c r="B37">
        <v>0</v>
      </c>
      <c r="C37" s="2">
        <f t="shared" si="1"/>
        <v>0</v>
      </c>
      <c r="D37" s="2">
        <f t="shared" si="0"/>
        <v>0</v>
      </c>
      <c r="E37" s="2">
        <f t="shared" si="2"/>
        <v>56.5</v>
      </c>
      <c r="F37" s="2">
        <f t="shared" si="3"/>
        <v>66.5</v>
      </c>
      <c r="G37" s="2">
        <f t="shared" si="4"/>
        <v>-10</v>
      </c>
      <c r="H37" s="2">
        <f t="shared" si="5"/>
        <v>100</v>
      </c>
    </row>
    <row r="38" spans="1:15" x14ac:dyDescent="0.25">
      <c r="A38">
        <v>83.333333333333343</v>
      </c>
      <c r="B38">
        <v>0</v>
      </c>
      <c r="C38" s="2">
        <f t="shared" si="1"/>
        <v>83.333333333333343</v>
      </c>
      <c r="D38" s="2">
        <f t="shared" si="0"/>
        <v>0</v>
      </c>
      <c r="E38" s="2">
        <f t="shared" si="2"/>
        <v>153.5</v>
      </c>
      <c r="F38" s="2">
        <f t="shared" si="3"/>
        <v>66.5</v>
      </c>
      <c r="G38" s="2">
        <f t="shared" si="4"/>
        <v>87</v>
      </c>
      <c r="H38" s="2">
        <f t="shared" si="5"/>
        <v>7569</v>
      </c>
      <c r="M38" t="s">
        <v>31</v>
      </c>
      <c r="N38" t="s">
        <v>32</v>
      </c>
    </row>
    <row r="39" spans="1:15" x14ac:dyDescent="0.25">
      <c r="A39">
        <v>0</v>
      </c>
      <c r="B39">
        <v>0</v>
      </c>
      <c r="C39" s="2">
        <f t="shared" si="1"/>
        <v>0</v>
      </c>
      <c r="D39" s="2">
        <f t="shared" si="0"/>
        <v>0</v>
      </c>
      <c r="E39" s="2">
        <f t="shared" si="2"/>
        <v>56.5</v>
      </c>
      <c r="F39" s="2">
        <f t="shared" si="3"/>
        <v>66.5</v>
      </c>
      <c r="G39" s="2">
        <f t="shared" si="4"/>
        <v>-10</v>
      </c>
      <c r="H39" s="2">
        <f t="shared" si="5"/>
        <v>100</v>
      </c>
    </row>
    <row r="40" spans="1:15" x14ac:dyDescent="0.25">
      <c r="A40">
        <v>70</v>
      </c>
      <c r="B40">
        <v>0</v>
      </c>
      <c r="C40" s="2">
        <f t="shared" si="1"/>
        <v>70</v>
      </c>
      <c r="D40" s="2">
        <f t="shared" si="0"/>
        <v>0</v>
      </c>
      <c r="E40" s="2">
        <f t="shared" si="2"/>
        <v>136.5</v>
      </c>
      <c r="F40" s="2">
        <f t="shared" si="3"/>
        <v>66.5</v>
      </c>
      <c r="G40" s="2">
        <f t="shared" si="4"/>
        <v>70</v>
      </c>
      <c r="H40" s="2">
        <f t="shared" si="5"/>
        <v>4900</v>
      </c>
      <c r="N40" t="s">
        <v>3</v>
      </c>
      <c r="O40" s="2">
        <f>6*SUM(H:H)/(O7*(O7^2-1))</f>
        <v>0.62165237104332671</v>
      </c>
    </row>
    <row r="41" spans="1:15" x14ac:dyDescent="0.25">
      <c r="A41">
        <v>100</v>
      </c>
      <c r="B41">
        <v>100</v>
      </c>
      <c r="C41" s="2">
        <f t="shared" si="1"/>
        <v>100</v>
      </c>
      <c r="D41" s="2">
        <f t="shared" si="0"/>
        <v>100</v>
      </c>
      <c r="E41" s="2">
        <f t="shared" si="2"/>
        <v>257.5</v>
      </c>
      <c r="F41" s="2">
        <f t="shared" si="3"/>
        <v>265</v>
      </c>
      <c r="G41" s="2">
        <f t="shared" si="4"/>
        <v>-7.5</v>
      </c>
      <c r="H41" s="2">
        <f t="shared" si="5"/>
        <v>56.25</v>
      </c>
    </row>
    <row r="42" spans="1:15" x14ac:dyDescent="0.25">
      <c r="A42">
        <v>95</v>
      </c>
      <c r="B42">
        <v>85.714285714285708</v>
      </c>
      <c r="C42" s="2">
        <f t="shared" si="1"/>
        <v>95</v>
      </c>
      <c r="D42" s="2">
        <f t="shared" si="0"/>
        <v>85.714285714285708</v>
      </c>
      <c r="E42" s="2">
        <f t="shared" si="2"/>
        <v>192</v>
      </c>
      <c r="F42" s="2">
        <f t="shared" si="3"/>
        <v>173</v>
      </c>
      <c r="G42" s="2">
        <f t="shared" si="4"/>
        <v>19</v>
      </c>
      <c r="H42" s="2">
        <f t="shared" si="5"/>
        <v>361</v>
      </c>
    </row>
    <row r="43" spans="1:15" x14ac:dyDescent="0.25">
      <c r="A43">
        <v>0</v>
      </c>
      <c r="B43">
        <v>0</v>
      </c>
      <c r="C43" s="2">
        <f t="shared" si="1"/>
        <v>0</v>
      </c>
      <c r="D43" s="2">
        <f t="shared" si="0"/>
        <v>0</v>
      </c>
      <c r="E43" s="2">
        <f t="shared" si="2"/>
        <v>56.5</v>
      </c>
      <c r="F43" s="2">
        <f t="shared" si="3"/>
        <v>66.5</v>
      </c>
      <c r="G43" s="2">
        <f t="shared" si="4"/>
        <v>-10</v>
      </c>
      <c r="H43" s="2">
        <f t="shared" si="5"/>
        <v>100</v>
      </c>
    </row>
    <row r="44" spans="1:15" x14ac:dyDescent="0.25">
      <c r="A44">
        <v>0</v>
      </c>
      <c r="B44">
        <v>0</v>
      </c>
      <c r="C44" s="2">
        <f t="shared" si="1"/>
        <v>0</v>
      </c>
      <c r="D44" s="2">
        <f t="shared" si="0"/>
        <v>0</v>
      </c>
      <c r="E44" s="2">
        <f t="shared" si="2"/>
        <v>56.5</v>
      </c>
      <c r="F44" s="2">
        <f t="shared" si="3"/>
        <v>66.5</v>
      </c>
      <c r="G44" s="2">
        <f t="shared" si="4"/>
        <v>-10</v>
      </c>
      <c r="H44" s="2">
        <f t="shared" si="5"/>
        <v>100</v>
      </c>
    </row>
    <row r="45" spans="1:15" x14ac:dyDescent="0.25">
      <c r="A45">
        <v>0</v>
      </c>
      <c r="B45">
        <v>100</v>
      </c>
      <c r="C45" s="2">
        <f t="shared" si="1"/>
        <v>0</v>
      </c>
      <c r="D45" s="2">
        <f t="shared" si="0"/>
        <v>100</v>
      </c>
      <c r="E45" s="2">
        <f t="shared" si="2"/>
        <v>56.5</v>
      </c>
      <c r="F45" s="2">
        <f t="shared" si="3"/>
        <v>265</v>
      </c>
      <c r="G45" s="2">
        <f t="shared" si="4"/>
        <v>-208.5</v>
      </c>
      <c r="H45" s="2">
        <f t="shared" si="5"/>
        <v>43472.25</v>
      </c>
    </row>
    <row r="46" spans="1:15" x14ac:dyDescent="0.25">
      <c r="A46">
        <v>95.454545454545453</v>
      </c>
      <c r="B46">
        <v>0</v>
      </c>
      <c r="C46" s="2">
        <f t="shared" si="1"/>
        <v>95.454545454545453</v>
      </c>
      <c r="D46" s="2">
        <f t="shared" si="0"/>
        <v>0</v>
      </c>
      <c r="E46" s="2">
        <f t="shared" si="2"/>
        <v>197.5</v>
      </c>
      <c r="F46" s="2">
        <f t="shared" si="3"/>
        <v>66.5</v>
      </c>
      <c r="G46" s="2">
        <f t="shared" si="4"/>
        <v>131</v>
      </c>
      <c r="H46" s="2">
        <f t="shared" si="5"/>
        <v>17161</v>
      </c>
    </row>
    <row r="47" spans="1:15" x14ac:dyDescent="0.25">
      <c r="A47">
        <v>95.238095238095227</v>
      </c>
      <c r="B47">
        <v>92.592592592592595</v>
      </c>
      <c r="C47" s="2">
        <f t="shared" si="1"/>
        <v>95.238095238095227</v>
      </c>
      <c r="D47" s="2">
        <f t="shared" si="0"/>
        <v>92.592592592592595</v>
      </c>
      <c r="E47" s="2">
        <f t="shared" si="2"/>
        <v>195</v>
      </c>
      <c r="F47" s="2">
        <f t="shared" si="3"/>
        <v>200</v>
      </c>
      <c r="G47" s="2">
        <f t="shared" si="4"/>
        <v>-5</v>
      </c>
      <c r="H47" s="2">
        <f t="shared" si="5"/>
        <v>25</v>
      </c>
    </row>
    <row r="48" spans="1:15" x14ac:dyDescent="0.25">
      <c r="A48">
        <v>58.82352941176471</v>
      </c>
      <c r="B48">
        <v>69.811320754716974</v>
      </c>
      <c r="C48" s="2">
        <f t="shared" si="1"/>
        <v>58.82352941176471</v>
      </c>
      <c r="D48" s="2">
        <f t="shared" si="0"/>
        <v>69.811320754716974</v>
      </c>
      <c r="E48" s="2">
        <f t="shared" si="2"/>
        <v>131</v>
      </c>
      <c r="F48" s="2">
        <f t="shared" si="3"/>
        <v>155</v>
      </c>
      <c r="G48" s="2">
        <f t="shared" si="4"/>
        <v>-24</v>
      </c>
      <c r="H48" s="2">
        <f t="shared" si="5"/>
        <v>576</v>
      </c>
    </row>
    <row r="49" spans="1:8" x14ac:dyDescent="0.25">
      <c r="A49">
        <v>100</v>
      </c>
      <c r="B49">
        <v>0</v>
      </c>
      <c r="C49" s="2">
        <f t="shared" si="1"/>
        <v>100</v>
      </c>
      <c r="D49" s="2">
        <f t="shared" si="0"/>
        <v>0</v>
      </c>
      <c r="E49" s="2">
        <f t="shared" si="2"/>
        <v>257.5</v>
      </c>
      <c r="F49" s="2">
        <f t="shared" si="3"/>
        <v>66.5</v>
      </c>
      <c r="G49" s="2">
        <f t="shared" si="4"/>
        <v>191</v>
      </c>
      <c r="H49" s="2">
        <f t="shared" si="5"/>
        <v>36481</v>
      </c>
    </row>
    <row r="50" spans="1:8" x14ac:dyDescent="0.25">
      <c r="A50">
        <v>83.333333333333343</v>
      </c>
      <c r="B50">
        <v>94.73684210526315</v>
      </c>
      <c r="C50" s="2">
        <f t="shared" si="1"/>
        <v>83.333333333333343</v>
      </c>
      <c r="D50" s="2">
        <f t="shared" si="0"/>
        <v>94.73684210526315</v>
      </c>
      <c r="E50" s="2">
        <f t="shared" si="2"/>
        <v>153.5</v>
      </c>
      <c r="F50" s="2">
        <f t="shared" si="3"/>
        <v>211</v>
      </c>
      <c r="G50" s="2">
        <f t="shared" si="4"/>
        <v>-57.5</v>
      </c>
      <c r="H50" s="2">
        <f t="shared" si="5"/>
        <v>3306.25</v>
      </c>
    </row>
    <row r="51" spans="1:8" x14ac:dyDescent="0.25">
      <c r="A51">
        <v>0</v>
      </c>
      <c r="B51">
        <v>0</v>
      </c>
      <c r="C51" s="2">
        <f t="shared" si="1"/>
        <v>0</v>
      </c>
      <c r="D51" s="2">
        <f t="shared" si="0"/>
        <v>0</v>
      </c>
      <c r="E51" s="2">
        <f t="shared" si="2"/>
        <v>56.5</v>
      </c>
      <c r="F51" s="2">
        <f t="shared" si="3"/>
        <v>66.5</v>
      </c>
      <c r="G51" s="2">
        <f t="shared" si="4"/>
        <v>-10</v>
      </c>
      <c r="H51" s="2">
        <f t="shared" si="5"/>
        <v>100</v>
      </c>
    </row>
    <row r="52" spans="1:8" x14ac:dyDescent="0.25">
      <c r="A52">
        <v>98.076923076923066</v>
      </c>
      <c r="B52">
        <v>96.875</v>
      </c>
      <c r="C52" s="2">
        <f t="shared" si="1"/>
        <v>98.076923076923066</v>
      </c>
      <c r="D52" s="2">
        <f t="shared" si="0"/>
        <v>96.875</v>
      </c>
      <c r="E52" s="2">
        <f t="shared" si="2"/>
        <v>207</v>
      </c>
      <c r="F52" s="2">
        <f t="shared" si="3"/>
        <v>222</v>
      </c>
      <c r="G52" s="2">
        <f t="shared" si="4"/>
        <v>-15</v>
      </c>
      <c r="H52" s="2">
        <f t="shared" si="5"/>
        <v>225</v>
      </c>
    </row>
    <row r="53" spans="1:8" x14ac:dyDescent="0.25">
      <c r="A53">
        <v>31.25</v>
      </c>
      <c r="B53">
        <v>8.1081081081081088</v>
      </c>
      <c r="C53" s="2">
        <f t="shared" si="1"/>
        <v>31.25</v>
      </c>
      <c r="D53" s="2">
        <f t="shared" si="0"/>
        <v>8.1081081081081088</v>
      </c>
      <c r="E53" s="2">
        <f t="shared" si="2"/>
        <v>117.5</v>
      </c>
      <c r="F53" s="2">
        <f t="shared" si="3"/>
        <v>134</v>
      </c>
      <c r="G53" s="2">
        <f t="shared" si="4"/>
        <v>-16.5</v>
      </c>
      <c r="H53" s="2">
        <f t="shared" si="5"/>
        <v>272.25</v>
      </c>
    </row>
    <row r="54" spans="1:8" x14ac:dyDescent="0.25">
      <c r="A54">
        <v>0</v>
      </c>
      <c r="B54">
        <v>81.25</v>
      </c>
      <c r="C54" s="2">
        <f t="shared" si="1"/>
        <v>0</v>
      </c>
      <c r="D54" s="2">
        <f t="shared" si="0"/>
        <v>81.25</v>
      </c>
      <c r="E54" s="2">
        <f t="shared" si="2"/>
        <v>56.5</v>
      </c>
      <c r="F54" s="2">
        <f t="shared" si="3"/>
        <v>162.5</v>
      </c>
      <c r="G54" s="2">
        <f t="shared" si="4"/>
        <v>-106</v>
      </c>
      <c r="H54" s="2">
        <f t="shared" si="5"/>
        <v>11236</v>
      </c>
    </row>
    <row r="55" spans="1:8" x14ac:dyDescent="0.25">
      <c r="A55">
        <v>86.71875</v>
      </c>
      <c r="B55">
        <v>95.045045045045043</v>
      </c>
      <c r="C55" s="2">
        <f t="shared" si="1"/>
        <v>86.71875</v>
      </c>
      <c r="D55" s="2">
        <f t="shared" si="0"/>
        <v>95.045045045045043</v>
      </c>
      <c r="E55" s="2">
        <f t="shared" si="2"/>
        <v>159</v>
      </c>
      <c r="F55" s="2">
        <f t="shared" si="3"/>
        <v>212</v>
      </c>
      <c r="G55" s="2">
        <f t="shared" si="4"/>
        <v>-53</v>
      </c>
      <c r="H55" s="2">
        <f t="shared" si="5"/>
        <v>2809</v>
      </c>
    </row>
    <row r="56" spans="1:8" x14ac:dyDescent="0.25">
      <c r="A56">
        <v>0</v>
      </c>
      <c r="B56">
        <v>0</v>
      </c>
      <c r="C56" s="2">
        <f t="shared" si="1"/>
        <v>0</v>
      </c>
      <c r="D56" s="2">
        <f t="shared" si="0"/>
        <v>0</v>
      </c>
      <c r="E56" s="2">
        <f t="shared" si="2"/>
        <v>56.5</v>
      </c>
      <c r="F56" s="2">
        <f t="shared" si="3"/>
        <v>66.5</v>
      </c>
      <c r="G56" s="2">
        <f t="shared" si="4"/>
        <v>-10</v>
      </c>
      <c r="H56" s="2">
        <f t="shared" si="5"/>
        <v>100</v>
      </c>
    </row>
    <row r="57" spans="1:8" x14ac:dyDescent="0.25">
      <c r="A57">
        <v>100</v>
      </c>
      <c r="B57">
        <v>100</v>
      </c>
      <c r="C57" s="2">
        <f t="shared" si="1"/>
        <v>100</v>
      </c>
      <c r="D57" s="2">
        <f t="shared" si="0"/>
        <v>100</v>
      </c>
      <c r="E57" s="2">
        <f t="shared" si="2"/>
        <v>257.5</v>
      </c>
      <c r="F57" s="2">
        <f t="shared" si="3"/>
        <v>265</v>
      </c>
      <c r="G57" s="2">
        <f t="shared" si="4"/>
        <v>-7.5</v>
      </c>
      <c r="H57" s="2">
        <f t="shared" si="5"/>
        <v>56.25</v>
      </c>
    </row>
    <row r="58" spans="1:8" x14ac:dyDescent="0.25">
      <c r="A58">
        <v>95.714285714285722</v>
      </c>
      <c r="B58">
        <v>90.441176470588232</v>
      </c>
      <c r="C58" s="2">
        <f t="shared" si="1"/>
        <v>95.714285714285722</v>
      </c>
      <c r="D58" s="2">
        <f t="shared" si="0"/>
        <v>90.441176470588232</v>
      </c>
      <c r="E58" s="2">
        <f t="shared" si="2"/>
        <v>200</v>
      </c>
      <c r="F58" s="2">
        <f t="shared" si="3"/>
        <v>194</v>
      </c>
      <c r="G58" s="2">
        <f t="shared" si="4"/>
        <v>6</v>
      </c>
      <c r="H58" s="2">
        <f t="shared" si="5"/>
        <v>36</v>
      </c>
    </row>
    <row r="59" spans="1:8" x14ac:dyDescent="0.25">
      <c r="A59">
        <v>100</v>
      </c>
      <c r="B59">
        <v>0</v>
      </c>
      <c r="C59" s="2">
        <f t="shared" si="1"/>
        <v>100</v>
      </c>
      <c r="D59" s="2">
        <f t="shared" si="0"/>
        <v>0</v>
      </c>
      <c r="E59" s="2">
        <f t="shared" si="2"/>
        <v>257.5</v>
      </c>
      <c r="F59" s="2">
        <f t="shared" si="3"/>
        <v>66.5</v>
      </c>
      <c r="G59" s="2">
        <f t="shared" si="4"/>
        <v>191</v>
      </c>
      <c r="H59" s="2">
        <f t="shared" si="5"/>
        <v>36481</v>
      </c>
    </row>
    <row r="60" spans="1:8" x14ac:dyDescent="0.25">
      <c r="A60">
        <v>0</v>
      </c>
      <c r="B60">
        <v>0</v>
      </c>
      <c r="C60" s="2">
        <f t="shared" si="1"/>
        <v>0</v>
      </c>
      <c r="D60" s="2">
        <f t="shared" si="0"/>
        <v>0</v>
      </c>
      <c r="E60" s="2">
        <f t="shared" si="2"/>
        <v>56.5</v>
      </c>
      <c r="F60" s="2">
        <f t="shared" si="3"/>
        <v>66.5</v>
      </c>
      <c r="G60" s="2">
        <f t="shared" si="4"/>
        <v>-10</v>
      </c>
      <c r="H60" s="2">
        <f t="shared" si="5"/>
        <v>100</v>
      </c>
    </row>
    <row r="61" spans="1:8" x14ac:dyDescent="0.25">
      <c r="A61">
        <v>100</v>
      </c>
      <c r="B61">
        <v>0</v>
      </c>
      <c r="C61" s="2">
        <f t="shared" si="1"/>
        <v>100</v>
      </c>
      <c r="D61" s="2">
        <f t="shared" si="0"/>
        <v>0</v>
      </c>
      <c r="E61" s="2">
        <f t="shared" si="2"/>
        <v>257.5</v>
      </c>
      <c r="F61" s="2">
        <f t="shared" si="3"/>
        <v>66.5</v>
      </c>
      <c r="G61" s="2">
        <f t="shared" si="4"/>
        <v>191</v>
      </c>
      <c r="H61" s="2">
        <f t="shared" si="5"/>
        <v>36481</v>
      </c>
    </row>
    <row r="62" spans="1:8" x14ac:dyDescent="0.25">
      <c r="A62">
        <v>83.333333333333343</v>
      </c>
      <c r="B62">
        <v>89.430894308943081</v>
      </c>
      <c r="C62" s="2">
        <f t="shared" si="1"/>
        <v>83.333333333333343</v>
      </c>
      <c r="D62" s="2">
        <f t="shared" si="0"/>
        <v>89.430894308943081</v>
      </c>
      <c r="E62" s="2">
        <f t="shared" si="2"/>
        <v>153.5</v>
      </c>
      <c r="F62" s="2">
        <f t="shared" si="3"/>
        <v>187</v>
      </c>
      <c r="G62" s="2">
        <f t="shared" si="4"/>
        <v>-33.5</v>
      </c>
      <c r="H62" s="2">
        <f t="shared" si="5"/>
        <v>1122.25</v>
      </c>
    </row>
    <row r="63" spans="1:8" x14ac:dyDescent="0.25">
      <c r="A63">
        <v>86.764705882352942</v>
      </c>
      <c r="B63">
        <v>92.72727272727272</v>
      </c>
      <c r="C63" s="2">
        <f t="shared" si="1"/>
        <v>86.764705882352942</v>
      </c>
      <c r="D63" s="2">
        <f t="shared" si="0"/>
        <v>92.72727272727272</v>
      </c>
      <c r="E63" s="2">
        <f t="shared" si="2"/>
        <v>160</v>
      </c>
      <c r="F63" s="2">
        <f t="shared" si="3"/>
        <v>201</v>
      </c>
      <c r="G63" s="2">
        <f t="shared" si="4"/>
        <v>-41</v>
      </c>
      <c r="H63" s="2">
        <f t="shared" si="5"/>
        <v>1681</v>
      </c>
    </row>
    <row r="64" spans="1:8" x14ac:dyDescent="0.25">
      <c r="A64">
        <v>92.857142857142861</v>
      </c>
      <c r="B64">
        <v>0</v>
      </c>
      <c r="C64" s="2">
        <f t="shared" si="1"/>
        <v>92.857142857142861</v>
      </c>
      <c r="D64" s="2">
        <f t="shared" si="0"/>
        <v>0</v>
      </c>
      <c r="E64" s="2">
        <f t="shared" si="2"/>
        <v>181</v>
      </c>
      <c r="F64" s="2">
        <f t="shared" si="3"/>
        <v>66.5</v>
      </c>
      <c r="G64" s="2">
        <f t="shared" si="4"/>
        <v>114.5</v>
      </c>
      <c r="H64" s="2">
        <f t="shared" si="5"/>
        <v>13110.25</v>
      </c>
    </row>
    <row r="65" spans="1:8" x14ac:dyDescent="0.25">
      <c r="A65">
        <v>0</v>
      </c>
      <c r="B65">
        <v>40</v>
      </c>
      <c r="C65" s="2">
        <f t="shared" si="1"/>
        <v>0</v>
      </c>
      <c r="D65" s="2">
        <f t="shared" si="0"/>
        <v>40</v>
      </c>
      <c r="E65" s="2">
        <f t="shared" si="2"/>
        <v>56.5</v>
      </c>
      <c r="F65" s="2">
        <f t="shared" si="3"/>
        <v>144.5</v>
      </c>
      <c r="G65" s="2">
        <f t="shared" si="4"/>
        <v>-88</v>
      </c>
      <c r="H65" s="2">
        <f t="shared" si="5"/>
        <v>7744</v>
      </c>
    </row>
    <row r="66" spans="1:8" x14ac:dyDescent="0.25">
      <c r="A66">
        <v>100</v>
      </c>
      <c r="B66">
        <v>100</v>
      </c>
      <c r="C66" s="2">
        <f t="shared" si="1"/>
        <v>100</v>
      </c>
      <c r="D66" s="2">
        <f t="shared" si="1"/>
        <v>100</v>
      </c>
      <c r="E66" s="2">
        <f t="shared" si="2"/>
        <v>257.5</v>
      </c>
      <c r="F66" s="2">
        <f t="shared" si="3"/>
        <v>265</v>
      </c>
      <c r="G66" s="2">
        <f t="shared" si="4"/>
        <v>-7.5</v>
      </c>
      <c r="H66" s="2">
        <f t="shared" si="5"/>
        <v>56.25</v>
      </c>
    </row>
    <row r="67" spans="1:8" x14ac:dyDescent="0.25">
      <c r="A67">
        <v>0</v>
      </c>
      <c r="B67">
        <v>27.27272727272727</v>
      </c>
      <c r="C67" s="2">
        <f t="shared" ref="C67:D130" si="6">IF(AND($A67&lt;&gt;"",$B67&lt;&gt;""),A67,"")</f>
        <v>0</v>
      </c>
      <c r="D67" s="2">
        <f t="shared" si="6"/>
        <v>27.27272727272727</v>
      </c>
      <c r="E67" s="2">
        <f t="shared" ref="E67:E130" si="7">IF(C67="","",_xlfn.RANK.AVG(C67,C$2:C$468,1))</f>
        <v>56.5</v>
      </c>
      <c r="F67" s="2">
        <f t="shared" ref="F67:F130" si="8">IF(D67="","",_xlfn.RANK.AVG(D67,D$2:D$468,1))</f>
        <v>139</v>
      </c>
      <c r="G67" s="2">
        <f t="shared" ref="G67:G130" si="9">IF(C67="","",E67-F67)</f>
        <v>-82.5</v>
      </c>
      <c r="H67" s="2">
        <f t="shared" ref="H67:H130" si="10">IF(C67="","",G67^2)</f>
        <v>6806.25</v>
      </c>
    </row>
    <row r="68" spans="1:8" x14ac:dyDescent="0.25">
      <c r="A68">
        <v>0</v>
      </c>
      <c r="B68">
        <v>0</v>
      </c>
      <c r="C68" s="2">
        <f t="shared" si="6"/>
        <v>0</v>
      </c>
      <c r="D68" s="2">
        <f t="shared" si="6"/>
        <v>0</v>
      </c>
      <c r="E68" s="2">
        <f t="shared" si="7"/>
        <v>56.5</v>
      </c>
      <c r="F68" s="2">
        <f t="shared" si="8"/>
        <v>66.5</v>
      </c>
      <c r="G68" s="2">
        <f t="shared" si="9"/>
        <v>-10</v>
      </c>
      <c r="H68" s="2">
        <f t="shared" si="10"/>
        <v>100</v>
      </c>
    </row>
    <row r="69" spans="1:8" x14ac:dyDescent="0.25">
      <c r="A69">
        <v>0</v>
      </c>
      <c r="B69">
        <v>0</v>
      </c>
      <c r="C69" s="2">
        <f t="shared" si="6"/>
        <v>0</v>
      </c>
      <c r="D69" s="2">
        <f t="shared" si="6"/>
        <v>0</v>
      </c>
      <c r="E69" s="2">
        <f t="shared" si="7"/>
        <v>56.5</v>
      </c>
      <c r="F69" s="2">
        <f t="shared" si="8"/>
        <v>66.5</v>
      </c>
      <c r="G69" s="2">
        <f t="shared" si="9"/>
        <v>-10</v>
      </c>
      <c r="H69" s="2">
        <f t="shared" si="10"/>
        <v>100</v>
      </c>
    </row>
    <row r="70" spans="1:8" x14ac:dyDescent="0.25">
      <c r="A70">
        <v>81.25</v>
      </c>
      <c r="B70">
        <v>100</v>
      </c>
      <c r="C70" s="2">
        <f t="shared" si="6"/>
        <v>81.25</v>
      </c>
      <c r="D70" s="2">
        <f t="shared" si="6"/>
        <v>100</v>
      </c>
      <c r="E70" s="2">
        <f t="shared" si="7"/>
        <v>151</v>
      </c>
      <c r="F70" s="2">
        <f t="shared" si="8"/>
        <v>265</v>
      </c>
      <c r="G70" s="2">
        <f t="shared" si="9"/>
        <v>-114</v>
      </c>
      <c r="H70" s="2">
        <f t="shared" si="10"/>
        <v>12996</v>
      </c>
    </row>
    <row r="71" spans="1:8" x14ac:dyDescent="0.25">
      <c r="A71">
        <v>0</v>
      </c>
      <c r="B71">
        <v>0</v>
      </c>
      <c r="C71" s="2">
        <f t="shared" si="6"/>
        <v>0</v>
      </c>
      <c r="D71" s="2">
        <f t="shared" si="6"/>
        <v>0</v>
      </c>
      <c r="E71" s="2">
        <f t="shared" si="7"/>
        <v>56.5</v>
      </c>
      <c r="F71" s="2">
        <f t="shared" si="8"/>
        <v>66.5</v>
      </c>
      <c r="G71" s="2">
        <f t="shared" si="9"/>
        <v>-10</v>
      </c>
      <c r="H71" s="2">
        <f t="shared" si="10"/>
        <v>100</v>
      </c>
    </row>
    <row r="72" spans="1:8" x14ac:dyDescent="0.25">
      <c r="A72">
        <v>83.333333333333343</v>
      </c>
      <c r="B72">
        <v>87.5</v>
      </c>
      <c r="C72" s="2">
        <f t="shared" si="6"/>
        <v>83.333333333333343</v>
      </c>
      <c r="D72" s="2">
        <f t="shared" si="6"/>
        <v>87.5</v>
      </c>
      <c r="E72" s="2">
        <f t="shared" si="7"/>
        <v>153.5</v>
      </c>
      <c r="F72" s="2">
        <f t="shared" si="8"/>
        <v>179.5</v>
      </c>
      <c r="G72" s="2">
        <f t="shared" si="9"/>
        <v>-26</v>
      </c>
      <c r="H72" s="2">
        <f t="shared" si="10"/>
        <v>676</v>
      </c>
    </row>
    <row r="73" spans="1:8" x14ac:dyDescent="0.25">
      <c r="A73">
        <v>87.5</v>
      </c>
      <c r="B73">
        <v>0</v>
      </c>
      <c r="C73" s="2">
        <f t="shared" si="6"/>
        <v>87.5</v>
      </c>
      <c r="D73" s="2">
        <f t="shared" si="6"/>
        <v>0</v>
      </c>
      <c r="E73" s="2">
        <f t="shared" si="7"/>
        <v>163.5</v>
      </c>
      <c r="F73" s="2">
        <f t="shared" si="8"/>
        <v>66.5</v>
      </c>
      <c r="G73" s="2">
        <f t="shared" si="9"/>
        <v>97</v>
      </c>
      <c r="H73" s="2">
        <f t="shared" si="10"/>
        <v>9409</v>
      </c>
    </row>
    <row r="74" spans="1:8" x14ac:dyDescent="0.25">
      <c r="A74">
        <v>100</v>
      </c>
      <c r="B74">
        <v>75.342465753424662</v>
      </c>
      <c r="C74" s="2">
        <f t="shared" si="6"/>
        <v>100</v>
      </c>
      <c r="D74" s="2">
        <f t="shared" si="6"/>
        <v>75.342465753424662</v>
      </c>
      <c r="E74" s="2">
        <f t="shared" si="7"/>
        <v>257.5</v>
      </c>
      <c r="F74" s="2">
        <f t="shared" si="8"/>
        <v>159</v>
      </c>
      <c r="G74" s="2">
        <f t="shared" si="9"/>
        <v>98.5</v>
      </c>
      <c r="H74" s="2">
        <f t="shared" si="10"/>
        <v>9702.25</v>
      </c>
    </row>
    <row r="75" spans="1:8" x14ac:dyDescent="0.25">
      <c r="A75">
        <v>0</v>
      </c>
      <c r="B75">
        <v>90</v>
      </c>
      <c r="C75" s="2">
        <f t="shared" si="6"/>
        <v>0</v>
      </c>
      <c r="D75" s="2">
        <f t="shared" si="6"/>
        <v>90</v>
      </c>
      <c r="E75" s="2">
        <f t="shared" si="7"/>
        <v>56.5</v>
      </c>
      <c r="F75" s="2">
        <f t="shared" si="8"/>
        <v>190.5</v>
      </c>
      <c r="G75" s="2">
        <f t="shared" si="9"/>
        <v>-134</v>
      </c>
      <c r="H75" s="2">
        <f t="shared" si="10"/>
        <v>17956</v>
      </c>
    </row>
    <row r="76" spans="1:8" x14ac:dyDescent="0.25">
      <c r="A76">
        <v>100</v>
      </c>
      <c r="B76">
        <v>94.444444444444443</v>
      </c>
      <c r="C76" s="2">
        <f t="shared" si="6"/>
        <v>100</v>
      </c>
      <c r="D76" s="2">
        <f t="shared" si="6"/>
        <v>94.444444444444443</v>
      </c>
      <c r="E76" s="2">
        <f t="shared" si="7"/>
        <v>257.5</v>
      </c>
      <c r="F76" s="2">
        <f t="shared" si="8"/>
        <v>210</v>
      </c>
      <c r="G76" s="2">
        <f t="shared" si="9"/>
        <v>47.5</v>
      </c>
      <c r="H76" s="2">
        <f t="shared" si="10"/>
        <v>2256.25</v>
      </c>
    </row>
    <row r="77" spans="1:8" x14ac:dyDescent="0.25">
      <c r="A77">
        <v>88.888888888888886</v>
      </c>
      <c r="B77">
        <v>90</v>
      </c>
      <c r="C77" s="2">
        <f t="shared" si="6"/>
        <v>88.888888888888886</v>
      </c>
      <c r="D77" s="2">
        <f t="shared" si="6"/>
        <v>90</v>
      </c>
      <c r="E77" s="2">
        <f t="shared" si="7"/>
        <v>166.5</v>
      </c>
      <c r="F77" s="2">
        <f t="shared" si="8"/>
        <v>190.5</v>
      </c>
      <c r="G77" s="2">
        <f t="shared" si="9"/>
        <v>-24</v>
      </c>
      <c r="H77" s="2">
        <f t="shared" si="10"/>
        <v>576</v>
      </c>
    </row>
    <row r="78" spans="1:8" x14ac:dyDescent="0.25">
      <c r="A78">
        <v>96.875</v>
      </c>
      <c r="B78">
        <v>93.693693693693689</v>
      </c>
      <c r="C78" s="2">
        <f t="shared" si="6"/>
        <v>96.875</v>
      </c>
      <c r="D78" s="2">
        <f t="shared" si="6"/>
        <v>93.693693693693689</v>
      </c>
      <c r="E78" s="2">
        <f t="shared" si="7"/>
        <v>202</v>
      </c>
      <c r="F78" s="2">
        <f t="shared" si="8"/>
        <v>208</v>
      </c>
      <c r="G78" s="2">
        <f t="shared" si="9"/>
        <v>-6</v>
      </c>
      <c r="H78" s="2">
        <f t="shared" si="10"/>
        <v>36</v>
      </c>
    </row>
    <row r="79" spans="1:8" x14ac:dyDescent="0.25">
      <c r="A79">
        <v>92.857142857142861</v>
      </c>
      <c r="B79">
        <v>69.565217391304344</v>
      </c>
      <c r="C79" s="2">
        <f t="shared" si="6"/>
        <v>92.857142857142861</v>
      </c>
      <c r="D79" s="2">
        <f t="shared" si="6"/>
        <v>69.565217391304344</v>
      </c>
      <c r="E79" s="2">
        <f t="shared" si="7"/>
        <v>181</v>
      </c>
      <c r="F79" s="2">
        <f t="shared" si="8"/>
        <v>154</v>
      </c>
      <c r="G79" s="2">
        <f t="shared" si="9"/>
        <v>27</v>
      </c>
      <c r="H79" s="2">
        <f t="shared" si="10"/>
        <v>729</v>
      </c>
    </row>
    <row r="80" spans="1:8" x14ac:dyDescent="0.25">
      <c r="A80">
        <v>99.038461538461547</v>
      </c>
      <c r="B80">
        <v>86.705202312138724</v>
      </c>
      <c r="C80" s="2">
        <f t="shared" si="6"/>
        <v>99.038461538461547</v>
      </c>
      <c r="D80" s="2">
        <f t="shared" si="6"/>
        <v>86.705202312138724</v>
      </c>
      <c r="E80" s="2">
        <f t="shared" si="7"/>
        <v>209</v>
      </c>
      <c r="F80" s="2">
        <f t="shared" si="8"/>
        <v>177</v>
      </c>
      <c r="G80" s="2">
        <f t="shared" si="9"/>
        <v>32</v>
      </c>
      <c r="H80" s="2">
        <f t="shared" si="10"/>
        <v>1024</v>
      </c>
    </row>
    <row r="81" spans="1:8" x14ac:dyDescent="0.25">
      <c r="A81">
        <v>92.307692307692307</v>
      </c>
      <c r="B81">
        <v>88.043478260869563</v>
      </c>
      <c r="C81" s="2">
        <f t="shared" si="6"/>
        <v>92.307692307692307</v>
      </c>
      <c r="D81" s="2">
        <f t="shared" si="6"/>
        <v>88.043478260869563</v>
      </c>
      <c r="E81" s="2">
        <f t="shared" si="7"/>
        <v>177</v>
      </c>
      <c r="F81" s="2">
        <f t="shared" si="8"/>
        <v>181</v>
      </c>
      <c r="G81" s="2">
        <f t="shared" si="9"/>
        <v>-4</v>
      </c>
      <c r="H81" s="2">
        <f t="shared" si="10"/>
        <v>16</v>
      </c>
    </row>
    <row r="82" spans="1:8" x14ac:dyDescent="0.25">
      <c r="A82">
        <v>100</v>
      </c>
      <c r="B82">
        <v>0</v>
      </c>
      <c r="C82" s="2">
        <f t="shared" si="6"/>
        <v>100</v>
      </c>
      <c r="D82" s="2">
        <f t="shared" si="6"/>
        <v>0</v>
      </c>
      <c r="E82" s="2">
        <f t="shared" si="7"/>
        <v>257.5</v>
      </c>
      <c r="F82" s="2">
        <f t="shared" si="8"/>
        <v>66.5</v>
      </c>
      <c r="G82" s="2">
        <f t="shared" si="9"/>
        <v>191</v>
      </c>
      <c r="H82" s="2">
        <f t="shared" si="10"/>
        <v>36481</v>
      </c>
    </row>
    <row r="83" spans="1:8" x14ac:dyDescent="0.25">
      <c r="A83">
        <v>100</v>
      </c>
      <c r="B83">
        <v>0</v>
      </c>
      <c r="C83" s="2">
        <f t="shared" si="6"/>
        <v>100</v>
      </c>
      <c r="D83" s="2">
        <f t="shared" si="6"/>
        <v>0</v>
      </c>
      <c r="E83" s="2">
        <f t="shared" si="7"/>
        <v>257.5</v>
      </c>
      <c r="F83" s="2">
        <f t="shared" si="8"/>
        <v>66.5</v>
      </c>
      <c r="G83" s="2">
        <f t="shared" si="9"/>
        <v>191</v>
      </c>
      <c r="H83" s="2">
        <f t="shared" si="10"/>
        <v>36481</v>
      </c>
    </row>
    <row r="84" spans="1:8" x14ac:dyDescent="0.25">
      <c r="A84">
        <v>0</v>
      </c>
      <c r="B84">
        <v>0</v>
      </c>
      <c r="C84" s="2">
        <f t="shared" si="6"/>
        <v>0</v>
      </c>
      <c r="D84" s="2">
        <f t="shared" si="6"/>
        <v>0</v>
      </c>
      <c r="E84" s="2">
        <f t="shared" si="7"/>
        <v>56.5</v>
      </c>
      <c r="F84" s="2">
        <f t="shared" si="8"/>
        <v>66.5</v>
      </c>
      <c r="G84" s="2">
        <f t="shared" si="9"/>
        <v>-10</v>
      </c>
      <c r="H84" s="2">
        <f t="shared" si="10"/>
        <v>100</v>
      </c>
    </row>
    <row r="85" spans="1:8" x14ac:dyDescent="0.25">
      <c r="A85">
        <v>87.5</v>
      </c>
      <c r="B85">
        <v>0</v>
      </c>
      <c r="C85" s="2">
        <f t="shared" si="6"/>
        <v>87.5</v>
      </c>
      <c r="D85" s="2">
        <f t="shared" si="6"/>
        <v>0</v>
      </c>
      <c r="E85" s="2">
        <f t="shared" si="7"/>
        <v>163.5</v>
      </c>
      <c r="F85" s="2">
        <f t="shared" si="8"/>
        <v>66.5</v>
      </c>
      <c r="G85" s="2">
        <f t="shared" si="9"/>
        <v>97</v>
      </c>
      <c r="H85" s="2">
        <f t="shared" si="10"/>
        <v>9409</v>
      </c>
    </row>
    <row r="86" spans="1:8" x14ac:dyDescent="0.25">
      <c r="A86">
        <v>100</v>
      </c>
      <c r="B86">
        <v>0</v>
      </c>
      <c r="C86" s="2">
        <f t="shared" si="6"/>
        <v>100</v>
      </c>
      <c r="D86" s="2">
        <f t="shared" si="6"/>
        <v>0</v>
      </c>
      <c r="E86" s="2">
        <f t="shared" si="7"/>
        <v>257.5</v>
      </c>
      <c r="F86" s="2">
        <f t="shared" si="8"/>
        <v>66.5</v>
      </c>
      <c r="G86" s="2">
        <f t="shared" si="9"/>
        <v>191</v>
      </c>
      <c r="H86" s="2">
        <f t="shared" si="10"/>
        <v>36481</v>
      </c>
    </row>
    <row r="87" spans="1:8" x14ac:dyDescent="0.25">
      <c r="A87">
        <v>76.08695652173914</v>
      </c>
      <c r="B87">
        <v>84.905660377358487</v>
      </c>
      <c r="C87" s="2">
        <f t="shared" si="6"/>
        <v>76.08695652173914</v>
      </c>
      <c r="D87" s="2">
        <f t="shared" si="6"/>
        <v>84.905660377358487</v>
      </c>
      <c r="E87" s="2">
        <f t="shared" si="7"/>
        <v>144</v>
      </c>
      <c r="F87" s="2">
        <f t="shared" si="8"/>
        <v>171</v>
      </c>
      <c r="G87" s="2">
        <f t="shared" si="9"/>
        <v>-27</v>
      </c>
      <c r="H87" s="2">
        <f t="shared" si="10"/>
        <v>729</v>
      </c>
    </row>
    <row r="88" spans="1:8" x14ac:dyDescent="0.25">
      <c r="A88">
        <v>0</v>
      </c>
      <c r="B88">
        <v>0</v>
      </c>
      <c r="C88" s="2">
        <f t="shared" si="6"/>
        <v>0</v>
      </c>
      <c r="D88" s="2">
        <f t="shared" si="6"/>
        <v>0</v>
      </c>
      <c r="E88" s="2">
        <f t="shared" si="7"/>
        <v>56.5</v>
      </c>
      <c r="F88" s="2">
        <f t="shared" si="8"/>
        <v>66.5</v>
      </c>
      <c r="G88" s="2">
        <f t="shared" si="9"/>
        <v>-10</v>
      </c>
      <c r="H88" s="2">
        <f t="shared" si="10"/>
        <v>100</v>
      </c>
    </row>
    <row r="89" spans="1:8" x14ac:dyDescent="0.25">
      <c r="A89">
        <v>0</v>
      </c>
      <c r="B89">
        <v>0</v>
      </c>
      <c r="C89" s="2">
        <f t="shared" si="6"/>
        <v>0</v>
      </c>
      <c r="D89" s="2">
        <f t="shared" si="6"/>
        <v>0</v>
      </c>
      <c r="E89" s="2">
        <f t="shared" si="7"/>
        <v>56.5</v>
      </c>
      <c r="F89" s="2">
        <f t="shared" si="8"/>
        <v>66.5</v>
      </c>
      <c r="G89" s="2">
        <f t="shared" si="9"/>
        <v>-10</v>
      </c>
      <c r="H89" s="2">
        <f t="shared" si="10"/>
        <v>100</v>
      </c>
    </row>
    <row r="90" spans="1:8" x14ac:dyDescent="0.25">
      <c r="A90">
        <v>71.428571428571431</v>
      </c>
      <c r="B90">
        <v>0</v>
      </c>
      <c r="C90" s="2">
        <f t="shared" si="6"/>
        <v>71.428571428571431</v>
      </c>
      <c r="D90" s="2">
        <f t="shared" si="6"/>
        <v>0</v>
      </c>
      <c r="E90" s="2">
        <f t="shared" si="7"/>
        <v>138</v>
      </c>
      <c r="F90" s="2">
        <f t="shared" si="8"/>
        <v>66.5</v>
      </c>
      <c r="G90" s="2">
        <f t="shared" si="9"/>
        <v>71.5</v>
      </c>
      <c r="H90" s="2">
        <f t="shared" si="10"/>
        <v>5112.25</v>
      </c>
    </row>
    <row r="91" spans="1:8" x14ac:dyDescent="0.25">
      <c r="A91">
        <v>0</v>
      </c>
      <c r="B91">
        <v>0</v>
      </c>
      <c r="C91" s="2">
        <f t="shared" si="6"/>
        <v>0</v>
      </c>
      <c r="D91" s="2">
        <f t="shared" si="6"/>
        <v>0</v>
      </c>
      <c r="E91" s="2">
        <f t="shared" si="7"/>
        <v>56.5</v>
      </c>
      <c r="F91" s="2">
        <f t="shared" si="8"/>
        <v>66.5</v>
      </c>
      <c r="G91" s="2">
        <f t="shared" si="9"/>
        <v>-10</v>
      </c>
      <c r="H91" s="2">
        <f t="shared" si="10"/>
        <v>100</v>
      </c>
    </row>
    <row r="92" spans="1:8" x14ac:dyDescent="0.25">
      <c r="A92">
        <v>100</v>
      </c>
      <c r="B92">
        <v>100</v>
      </c>
      <c r="C92" s="2">
        <f t="shared" si="6"/>
        <v>100</v>
      </c>
      <c r="D92" s="2">
        <f t="shared" si="6"/>
        <v>100</v>
      </c>
      <c r="E92" s="2">
        <f t="shared" si="7"/>
        <v>257.5</v>
      </c>
      <c r="F92" s="2">
        <f t="shared" si="8"/>
        <v>265</v>
      </c>
      <c r="G92" s="2">
        <f t="shared" si="9"/>
        <v>-7.5</v>
      </c>
      <c r="H92" s="2">
        <f t="shared" si="10"/>
        <v>56.25</v>
      </c>
    </row>
    <row r="93" spans="1:8" x14ac:dyDescent="0.25">
      <c r="A93">
        <v>0</v>
      </c>
      <c r="B93">
        <v>0</v>
      </c>
      <c r="C93" s="2">
        <f t="shared" si="6"/>
        <v>0</v>
      </c>
      <c r="D93" s="2">
        <f t="shared" si="6"/>
        <v>0</v>
      </c>
      <c r="E93" s="2">
        <f t="shared" si="7"/>
        <v>56.5</v>
      </c>
      <c r="F93" s="2">
        <f t="shared" si="8"/>
        <v>66.5</v>
      </c>
      <c r="G93" s="2">
        <f t="shared" si="9"/>
        <v>-10</v>
      </c>
      <c r="H93" s="2">
        <f t="shared" si="10"/>
        <v>100</v>
      </c>
    </row>
    <row r="94" spans="1:8" x14ac:dyDescent="0.25">
      <c r="A94">
        <v>91.666666666666657</v>
      </c>
      <c r="B94">
        <v>71.428571428571431</v>
      </c>
      <c r="C94" s="2">
        <f t="shared" si="6"/>
        <v>91.666666666666657</v>
      </c>
      <c r="D94" s="2">
        <f t="shared" si="6"/>
        <v>71.428571428571431</v>
      </c>
      <c r="E94" s="2">
        <f t="shared" si="7"/>
        <v>174</v>
      </c>
      <c r="F94" s="2">
        <f t="shared" si="8"/>
        <v>158</v>
      </c>
      <c r="G94" s="2">
        <f t="shared" si="9"/>
        <v>16</v>
      </c>
      <c r="H94" s="2">
        <f t="shared" si="10"/>
        <v>256</v>
      </c>
    </row>
    <row r="95" spans="1:8" x14ac:dyDescent="0.25">
      <c r="A95">
        <v>0</v>
      </c>
      <c r="B95">
        <v>0</v>
      </c>
      <c r="C95" s="2">
        <f t="shared" si="6"/>
        <v>0</v>
      </c>
      <c r="D95" s="2">
        <f t="shared" si="6"/>
        <v>0</v>
      </c>
      <c r="E95" s="2">
        <f t="shared" si="7"/>
        <v>56.5</v>
      </c>
      <c r="F95" s="2">
        <f t="shared" si="8"/>
        <v>66.5</v>
      </c>
      <c r="G95" s="2">
        <f t="shared" si="9"/>
        <v>-10</v>
      </c>
      <c r="H95" s="2">
        <f t="shared" si="10"/>
        <v>100</v>
      </c>
    </row>
    <row r="96" spans="1:8" x14ac:dyDescent="0.25">
      <c r="A96">
        <v>100</v>
      </c>
      <c r="B96">
        <v>92.857142857142861</v>
      </c>
      <c r="C96" s="2">
        <f t="shared" si="6"/>
        <v>100</v>
      </c>
      <c r="D96" s="2">
        <f t="shared" si="6"/>
        <v>92.857142857142861</v>
      </c>
      <c r="E96" s="2">
        <f t="shared" si="7"/>
        <v>257.5</v>
      </c>
      <c r="F96" s="2">
        <f t="shared" si="8"/>
        <v>202</v>
      </c>
      <c r="G96" s="2">
        <f t="shared" si="9"/>
        <v>55.5</v>
      </c>
      <c r="H96" s="2">
        <f t="shared" si="10"/>
        <v>3080.25</v>
      </c>
    </row>
    <row r="97" spans="1:8" x14ac:dyDescent="0.25">
      <c r="A97">
        <v>0</v>
      </c>
      <c r="B97">
        <v>100</v>
      </c>
      <c r="C97" s="2">
        <f t="shared" si="6"/>
        <v>0</v>
      </c>
      <c r="D97" s="2">
        <f t="shared" si="6"/>
        <v>100</v>
      </c>
      <c r="E97" s="2">
        <f t="shared" si="7"/>
        <v>56.5</v>
      </c>
      <c r="F97" s="2">
        <f t="shared" si="8"/>
        <v>265</v>
      </c>
      <c r="G97" s="2">
        <f t="shared" si="9"/>
        <v>-208.5</v>
      </c>
      <c r="H97" s="2">
        <f t="shared" si="10"/>
        <v>43472.25</v>
      </c>
    </row>
    <row r="98" spans="1:8" x14ac:dyDescent="0.25">
      <c r="A98">
        <v>100</v>
      </c>
      <c r="B98">
        <v>100</v>
      </c>
      <c r="C98" s="2">
        <f t="shared" si="6"/>
        <v>100</v>
      </c>
      <c r="D98" s="2">
        <f t="shared" si="6"/>
        <v>100</v>
      </c>
      <c r="E98" s="2">
        <f t="shared" si="7"/>
        <v>257.5</v>
      </c>
      <c r="F98" s="2">
        <f t="shared" si="8"/>
        <v>265</v>
      </c>
      <c r="G98" s="2">
        <f t="shared" si="9"/>
        <v>-7.5</v>
      </c>
      <c r="H98" s="2">
        <f t="shared" si="10"/>
        <v>56.25</v>
      </c>
    </row>
    <row r="99" spans="1:8" x14ac:dyDescent="0.25">
      <c r="A99">
        <v>95.454545454545453</v>
      </c>
      <c r="B99">
        <v>91.891891891891902</v>
      </c>
      <c r="C99" s="2">
        <f t="shared" si="6"/>
        <v>95.454545454545453</v>
      </c>
      <c r="D99" s="2">
        <f t="shared" si="6"/>
        <v>91.891891891891902</v>
      </c>
      <c r="E99" s="2">
        <f t="shared" si="7"/>
        <v>197.5</v>
      </c>
      <c r="F99" s="2">
        <f t="shared" si="8"/>
        <v>197</v>
      </c>
      <c r="G99" s="2">
        <f t="shared" si="9"/>
        <v>0.5</v>
      </c>
      <c r="H99" s="2">
        <f t="shared" si="10"/>
        <v>0.25</v>
      </c>
    </row>
    <row r="100" spans="1:8" x14ac:dyDescent="0.25">
      <c r="A100">
        <v>0</v>
      </c>
      <c r="B100">
        <v>100</v>
      </c>
      <c r="C100" s="2">
        <f t="shared" si="6"/>
        <v>0</v>
      </c>
      <c r="D100" s="2">
        <f t="shared" si="6"/>
        <v>100</v>
      </c>
      <c r="E100" s="2">
        <f t="shared" si="7"/>
        <v>56.5</v>
      </c>
      <c r="F100" s="2">
        <f t="shared" si="8"/>
        <v>265</v>
      </c>
      <c r="G100" s="2">
        <f t="shared" si="9"/>
        <v>-208.5</v>
      </c>
      <c r="H100" s="2">
        <f t="shared" si="10"/>
        <v>43472.25</v>
      </c>
    </row>
    <row r="101" spans="1:8" x14ac:dyDescent="0.25">
      <c r="A101">
        <v>100</v>
      </c>
      <c r="B101">
        <v>100</v>
      </c>
      <c r="C101" s="2">
        <f t="shared" si="6"/>
        <v>100</v>
      </c>
      <c r="D101" s="2">
        <f t="shared" si="6"/>
        <v>100</v>
      </c>
      <c r="E101" s="2">
        <f t="shared" si="7"/>
        <v>257.5</v>
      </c>
      <c r="F101" s="2">
        <f t="shared" si="8"/>
        <v>265</v>
      </c>
      <c r="G101" s="2">
        <f t="shared" si="9"/>
        <v>-7.5</v>
      </c>
      <c r="H101" s="2">
        <f t="shared" si="10"/>
        <v>56.25</v>
      </c>
    </row>
    <row r="102" spans="1:8" x14ac:dyDescent="0.25">
      <c r="A102">
        <v>100</v>
      </c>
      <c r="B102">
        <v>0</v>
      </c>
      <c r="C102" s="2">
        <f t="shared" si="6"/>
        <v>100</v>
      </c>
      <c r="D102" s="2">
        <f t="shared" si="6"/>
        <v>0</v>
      </c>
      <c r="E102" s="2">
        <f t="shared" si="7"/>
        <v>257.5</v>
      </c>
      <c r="F102" s="2">
        <f t="shared" si="8"/>
        <v>66.5</v>
      </c>
      <c r="G102" s="2">
        <f t="shared" si="9"/>
        <v>191</v>
      </c>
      <c r="H102" s="2">
        <f t="shared" si="10"/>
        <v>36481</v>
      </c>
    </row>
    <row r="103" spans="1:8" x14ac:dyDescent="0.25">
      <c r="A103">
        <v>0</v>
      </c>
      <c r="B103">
        <v>0</v>
      </c>
      <c r="C103" s="2">
        <f t="shared" si="6"/>
        <v>0</v>
      </c>
      <c r="D103" s="2">
        <f t="shared" si="6"/>
        <v>0</v>
      </c>
      <c r="E103" s="2">
        <f t="shared" si="7"/>
        <v>56.5</v>
      </c>
      <c r="F103" s="2">
        <f t="shared" si="8"/>
        <v>66.5</v>
      </c>
      <c r="G103" s="2">
        <f t="shared" si="9"/>
        <v>-10</v>
      </c>
      <c r="H103" s="2">
        <f t="shared" si="10"/>
        <v>100</v>
      </c>
    </row>
    <row r="104" spans="1:8" x14ac:dyDescent="0.25">
      <c r="A104">
        <v>100</v>
      </c>
      <c r="B104">
        <v>100</v>
      </c>
      <c r="C104" s="2">
        <f t="shared" si="6"/>
        <v>100</v>
      </c>
      <c r="D104" s="2">
        <f t="shared" si="6"/>
        <v>100</v>
      </c>
      <c r="E104" s="2">
        <f t="shared" si="7"/>
        <v>257.5</v>
      </c>
      <c r="F104" s="2">
        <f t="shared" si="8"/>
        <v>265</v>
      </c>
      <c r="G104" s="2">
        <f t="shared" si="9"/>
        <v>-7.5</v>
      </c>
      <c r="H104" s="2">
        <f t="shared" si="10"/>
        <v>56.25</v>
      </c>
    </row>
    <row r="105" spans="1:8" x14ac:dyDescent="0.25">
      <c r="A105">
        <v>0</v>
      </c>
      <c r="B105">
        <v>0</v>
      </c>
      <c r="C105" s="2">
        <f t="shared" si="6"/>
        <v>0</v>
      </c>
      <c r="D105" s="2">
        <f t="shared" si="6"/>
        <v>0</v>
      </c>
      <c r="E105" s="2">
        <f t="shared" si="7"/>
        <v>56.5</v>
      </c>
      <c r="F105" s="2">
        <f t="shared" si="8"/>
        <v>66.5</v>
      </c>
      <c r="G105" s="2">
        <f t="shared" si="9"/>
        <v>-10</v>
      </c>
      <c r="H105" s="2">
        <f t="shared" si="10"/>
        <v>100</v>
      </c>
    </row>
    <row r="106" spans="1:8" x14ac:dyDescent="0.25">
      <c r="A106">
        <v>0</v>
      </c>
      <c r="B106">
        <v>100</v>
      </c>
      <c r="C106" s="2">
        <f t="shared" si="6"/>
        <v>0</v>
      </c>
      <c r="D106" s="2">
        <f t="shared" si="6"/>
        <v>100</v>
      </c>
      <c r="E106" s="2">
        <f t="shared" si="7"/>
        <v>56.5</v>
      </c>
      <c r="F106" s="2">
        <f t="shared" si="8"/>
        <v>265</v>
      </c>
      <c r="G106" s="2">
        <f t="shared" si="9"/>
        <v>-208.5</v>
      </c>
      <c r="H106" s="2">
        <f t="shared" si="10"/>
        <v>43472.25</v>
      </c>
    </row>
    <row r="107" spans="1:8" x14ac:dyDescent="0.25">
      <c r="A107">
        <v>100</v>
      </c>
      <c r="B107">
        <v>100</v>
      </c>
      <c r="C107" s="2">
        <f t="shared" si="6"/>
        <v>100</v>
      </c>
      <c r="D107" s="2">
        <f t="shared" si="6"/>
        <v>100</v>
      </c>
      <c r="E107" s="2">
        <f t="shared" si="7"/>
        <v>257.5</v>
      </c>
      <c r="F107" s="2">
        <f t="shared" si="8"/>
        <v>265</v>
      </c>
      <c r="G107" s="2">
        <f t="shared" si="9"/>
        <v>-7.5</v>
      </c>
      <c r="H107" s="2">
        <f t="shared" si="10"/>
        <v>56.25</v>
      </c>
    </row>
    <row r="108" spans="1:8" x14ac:dyDescent="0.25">
      <c r="A108">
        <v>84.090909090909093</v>
      </c>
      <c r="B108">
        <v>92.265193370165747</v>
      </c>
      <c r="C108" s="2">
        <f t="shared" si="6"/>
        <v>84.090909090909093</v>
      </c>
      <c r="D108" s="2">
        <f t="shared" si="6"/>
        <v>92.265193370165747</v>
      </c>
      <c r="E108" s="2">
        <f t="shared" si="7"/>
        <v>156</v>
      </c>
      <c r="F108" s="2">
        <f t="shared" si="8"/>
        <v>198</v>
      </c>
      <c r="G108" s="2">
        <f t="shared" si="9"/>
        <v>-42</v>
      </c>
      <c r="H108" s="2">
        <f t="shared" si="10"/>
        <v>1764</v>
      </c>
    </row>
    <row r="109" spans="1:8" x14ac:dyDescent="0.25">
      <c r="A109">
        <v>0</v>
      </c>
      <c r="B109">
        <v>100</v>
      </c>
      <c r="C109" s="2">
        <f t="shared" si="6"/>
        <v>0</v>
      </c>
      <c r="D109" s="2">
        <f t="shared" si="6"/>
        <v>100</v>
      </c>
      <c r="E109" s="2">
        <f t="shared" si="7"/>
        <v>56.5</v>
      </c>
      <c r="F109" s="2">
        <f t="shared" si="8"/>
        <v>265</v>
      </c>
      <c r="G109" s="2">
        <f t="shared" si="9"/>
        <v>-208.5</v>
      </c>
      <c r="H109" s="2">
        <f t="shared" si="10"/>
        <v>43472.25</v>
      </c>
    </row>
    <row r="110" spans="1:8" x14ac:dyDescent="0.25">
      <c r="A110">
        <v>95.454545454545453</v>
      </c>
      <c r="B110">
        <v>96.15384615384616</v>
      </c>
      <c r="C110" s="2">
        <f t="shared" si="6"/>
        <v>95.454545454545453</v>
      </c>
      <c r="D110" s="2">
        <f t="shared" si="6"/>
        <v>96.15384615384616</v>
      </c>
      <c r="E110" s="2">
        <f t="shared" si="7"/>
        <v>197.5</v>
      </c>
      <c r="F110" s="2">
        <f t="shared" si="8"/>
        <v>220</v>
      </c>
      <c r="G110" s="2">
        <f t="shared" si="9"/>
        <v>-22.5</v>
      </c>
      <c r="H110" s="2">
        <f t="shared" si="10"/>
        <v>506.25</v>
      </c>
    </row>
    <row r="111" spans="1:8" x14ac:dyDescent="0.25">
      <c r="A111">
        <v>86.842105263157904</v>
      </c>
      <c r="B111">
        <v>87.179487179487182</v>
      </c>
      <c r="C111" s="2">
        <f t="shared" si="6"/>
        <v>86.842105263157904</v>
      </c>
      <c r="D111" s="2">
        <f t="shared" si="6"/>
        <v>87.179487179487182</v>
      </c>
      <c r="E111" s="2">
        <f t="shared" si="7"/>
        <v>161</v>
      </c>
      <c r="F111" s="2">
        <f t="shared" si="8"/>
        <v>178</v>
      </c>
      <c r="G111" s="2">
        <f t="shared" si="9"/>
        <v>-17</v>
      </c>
      <c r="H111" s="2">
        <f t="shared" si="10"/>
        <v>289</v>
      </c>
    </row>
    <row r="112" spans="1:8" x14ac:dyDescent="0.25">
      <c r="A112">
        <v>0</v>
      </c>
      <c r="B112">
        <v>0</v>
      </c>
      <c r="C112" s="2">
        <f t="shared" si="6"/>
        <v>0</v>
      </c>
      <c r="D112" s="2">
        <f t="shared" si="6"/>
        <v>0</v>
      </c>
      <c r="E112" s="2">
        <f t="shared" si="7"/>
        <v>56.5</v>
      </c>
      <c r="F112" s="2">
        <f t="shared" si="8"/>
        <v>66.5</v>
      </c>
      <c r="G112" s="2">
        <f t="shared" si="9"/>
        <v>-10</v>
      </c>
      <c r="H112" s="2">
        <f t="shared" si="10"/>
        <v>100</v>
      </c>
    </row>
    <row r="113" spans="1:8" x14ac:dyDescent="0.25">
      <c r="A113">
        <v>0</v>
      </c>
      <c r="B113">
        <v>0</v>
      </c>
      <c r="C113" s="2">
        <f t="shared" si="6"/>
        <v>0</v>
      </c>
      <c r="D113" s="2">
        <f t="shared" si="6"/>
        <v>0</v>
      </c>
      <c r="E113" s="2">
        <f t="shared" si="7"/>
        <v>56.5</v>
      </c>
      <c r="F113" s="2">
        <f t="shared" si="8"/>
        <v>66.5</v>
      </c>
      <c r="G113" s="2">
        <f t="shared" si="9"/>
        <v>-10</v>
      </c>
      <c r="H113" s="2">
        <f t="shared" si="10"/>
        <v>100</v>
      </c>
    </row>
    <row r="114" spans="1:8" x14ac:dyDescent="0.25">
      <c r="A114">
        <v>0</v>
      </c>
      <c r="B114">
        <v>0</v>
      </c>
      <c r="C114" s="2">
        <f t="shared" si="6"/>
        <v>0</v>
      </c>
      <c r="D114" s="2">
        <f t="shared" si="6"/>
        <v>0</v>
      </c>
      <c r="E114" s="2">
        <f t="shared" si="7"/>
        <v>56.5</v>
      </c>
      <c r="F114" s="2">
        <f t="shared" si="8"/>
        <v>66.5</v>
      </c>
      <c r="G114" s="2">
        <f t="shared" si="9"/>
        <v>-10</v>
      </c>
      <c r="H114" s="2">
        <f t="shared" si="10"/>
        <v>100</v>
      </c>
    </row>
    <row r="115" spans="1:8" x14ac:dyDescent="0.25">
      <c r="A115">
        <v>0</v>
      </c>
      <c r="B115">
        <v>0</v>
      </c>
      <c r="C115" s="2">
        <f t="shared" si="6"/>
        <v>0</v>
      </c>
      <c r="D115" s="2">
        <f t="shared" si="6"/>
        <v>0</v>
      </c>
      <c r="E115" s="2">
        <f t="shared" si="7"/>
        <v>56.5</v>
      </c>
      <c r="F115" s="2">
        <f t="shared" si="8"/>
        <v>66.5</v>
      </c>
      <c r="G115" s="2">
        <f t="shared" si="9"/>
        <v>-10</v>
      </c>
      <c r="H115" s="2">
        <f t="shared" si="10"/>
        <v>100</v>
      </c>
    </row>
    <row r="116" spans="1:8" x14ac:dyDescent="0.25">
      <c r="A116">
        <v>50</v>
      </c>
      <c r="B116">
        <v>60</v>
      </c>
      <c r="C116" s="2">
        <f t="shared" si="6"/>
        <v>50</v>
      </c>
      <c r="D116" s="2">
        <f t="shared" si="6"/>
        <v>60</v>
      </c>
      <c r="E116" s="2">
        <f t="shared" si="7"/>
        <v>124.5</v>
      </c>
      <c r="F116" s="2">
        <f t="shared" si="8"/>
        <v>149</v>
      </c>
      <c r="G116" s="2">
        <f t="shared" si="9"/>
        <v>-24.5</v>
      </c>
      <c r="H116" s="2">
        <f t="shared" si="10"/>
        <v>600.25</v>
      </c>
    </row>
    <row r="117" spans="1:8" x14ac:dyDescent="0.25">
      <c r="A117">
        <v>0</v>
      </c>
      <c r="B117">
        <v>100</v>
      </c>
      <c r="C117" s="2">
        <f t="shared" si="6"/>
        <v>0</v>
      </c>
      <c r="D117" s="2">
        <f t="shared" si="6"/>
        <v>100</v>
      </c>
      <c r="E117" s="2">
        <f t="shared" si="7"/>
        <v>56.5</v>
      </c>
      <c r="F117" s="2">
        <f t="shared" si="8"/>
        <v>265</v>
      </c>
      <c r="G117" s="2">
        <f t="shared" si="9"/>
        <v>-208.5</v>
      </c>
      <c r="H117" s="2">
        <f t="shared" si="10"/>
        <v>43472.25</v>
      </c>
    </row>
    <row r="118" spans="1:8" x14ac:dyDescent="0.25">
      <c r="A118">
        <v>100</v>
      </c>
      <c r="B118">
        <v>100</v>
      </c>
      <c r="C118" s="2">
        <f t="shared" si="6"/>
        <v>100</v>
      </c>
      <c r="D118" s="2">
        <f t="shared" si="6"/>
        <v>100</v>
      </c>
      <c r="E118" s="2">
        <f t="shared" si="7"/>
        <v>257.5</v>
      </c>
      <c r="F118" s="2">
        <f t="shared" si="8"/>
        <v>265</v>
      </c>
      <c r="G118" s="2">
        <f t="shared" si="9"/>
        <v>-7.5</v>
      </c>
      <c r="H118" s="2">
        <f t="shared" si="10"/>
        <v>56.25</v>
      </c>
    </row>
    <row r="119" spans="1:8" x14ac:dyDescent="0.25">
      <c r="A119">
        <v>100</v>
      </c>
      <c r="B119">
        <v>100</v>
      </c>
      <c r="C119" s="2">
        <f t="shared" si="6"/>
        <v>100</v>
      </c>
      <c r="D119" s="2">
        <f t="shared" si="6"/>
        <v>100</v>
      </c>
      <c r="E119" s="2">
        <f t="shared" si="7"/>
        <v>257.5</v>
      </c>
      <c r="F119" s="2">
        <f t="shared" si="8"/>
        <v>265</v>
      </c>
      <c r="G119" s="2">
        <f t="shared" si="9"/>
        <v>-7.5</v>
      </c>
      <c r="H119" s="2">
        <f t="shared" si="10"/>
        <v>56.25</v>
      </c>
    </row>
    <row r="120" spans="1:8" x14ac:dyDescent="0.25">
      <c r="A120">
        <v>98.275862068965509</v>
      </c>
      <c r="B120">
        <v>86.111111111111114</v>
      </c>
      <c r="C120" s="2">
        <f t="shared" si="6"/>
        <v>98.275862068965509</v>
      </c>
      <c r="D120" s="2">
        <f t="shared" si="6"/>
        <v>86.111111111111114</v>
      </c>
      <c r="E120" s="2">
        <f t="shared" si="7"/>
        <v>208</v>
      </c>
      <c r="F120" s="2">
        <f t="shared" si="8"/>
        <v>174.5</v>
      </c>
      <c r="G120" s="2">
        <f t="shared" si="9"/>
        <v>33.5</v>
      </c>
      <c r="H120" s="2">
        <f t="shared" si="10"/>
        <v>1122.25</v>
      </c>
    </row>
    <row r="121" spans="1:8" x14ac:dyDescent="0.25">
      <c r="A121">
        <v>91.666666666666657</v>
      </c>
      <c r="B121">
        <v>84</v>
      </c>
      <c r="C121" s="2">
        <f t="shared" si="6"/>
        <v>91.666666666666657</v>
      </c>
      <c r="D121" s="2">
        <f t="shared" si="6"/>
        <v>84</v>
      </c>
      <c r="E121" s="2">
        <f t="shared" si="7"/>
        <v>174</v>
      </c>
      <c r="F121" s="2">
        <f t="shared" si="8"/>
        <v>167</v>
      </c>
      <c r="G121" s="2">
        <f t="shared" si="9"/>
        <v>7</v>
      </c>
      <c r="H121" s="2">
        <f t="shared" si="10"/>
        <v>49</v>
      </c>
    </row>
    <row r="122" spans="1:8" x14ac:dyDescent="0.25">
      <c r="A122">
        <v>87.5</v>
      </c>
      <c r="B122">
        <v>89.65517241379311</v>
      </c>
      <c r="C122" s="2">
        <f t="shared" si="6"/>
        <v>87.5</v>
      </c>
      <c r="D122" s="2">
        <f t="shared" si="6"/>
        <v>89.65517241379311</v>
      </c>
      <c r="E122" s="2">
        <f t="shared" si="7"/>
        <v>163.5</v>
      </c>
      <c r="F122" s="2">
        <f t="shared" si="8"/>
        <v>188</v>
      </c>
      <c r="G122" s="2">
        <f t="shared" si="9"/>
        <v>-24.5</v>
      </c>
      <c r="H122" s="2">
        <f t="shared" si="10"/>
        <v>600.25</v>
      </c>
    </row>
    <row r="123" spans="1:8" x14ac:dyDescent="0.25">
      <c r="A123">
        <v>75</v>
      </c>
      <c r="B123">
        <v>93.333333333333329</v>
      </c>
      <c r="C123" s="2">
        <f t="shared" si="6"/>
        <v>75</v>
      </c>
      <c r="D123" s="2">
        <f t="shared" si="6"/>
        <v>93.333333333333329</v>
      </c>
      <c r="E123" s="2">
        <f t="shared" si="7"/>
        <v>141</v>
      </c>
      <c r="F123" s="2">
        <f t="shared" si="8"/>
        <v>205.5</v>
      </c>
      <c r="G123" s="2">
        <f t="shared" si="9"/>
        <v>-64.5</v>
      </c>
      <c r="H123" s="2">
        <f t="shared" si="10"/>
        <v>4160.25</v>
      </c>
    </row>
    <row r="124" spans="1:8" x14ac:dyDescent="0.25">
      <c r="A124">
        <v>0</v>
      </c>
      <c r="B124">
        <v>0</v>
      </c>
      <c r="C124" s="2">
        <f t="shared" si="6"/>
        <v>0</v>
      </c>
      <c r="D124" s="2">
        <f t="shared" si="6"/>
        <v>0</v>
      </c>
      <c r="E124" s="2">
        <f t="shared" si="7"/>
        <v>56.5</v>
      </c>
      <c r="F124" s="2">
        <f t="shared" si="8"/>
        <v>66.5</v>
      </c>
      <c r="G124" s="2">
        <f t="shared" si="9"/>
        <v>-10</v>
      </c>
      <c r="H124" s="2">
        <f t="shared" si="10"/>
        <v>100</v>
      </c>
    </row>
    <row r="125" spans="1:8" x14ac:dyDescent="0.25">
      <c r="A125">
        <v>95</v>
      </c>
      <c r="B125">
        <v>0</v>
      </c>
      <c r="C125" s="2">
        <f t="shared" si="6"/>
        <v>95</v>
      </c>
      <c r="D125" s="2">
        <f t="shared" si="6"/>
        <v>0</v>
      </c>
      <c r="E125" s="2">
        <f t="shared" si="7"/>
        <v>192</v>
      </c>
      <c r="F125" s="2">
        <f t="shared" si="8"/>
        <v>66.5</v>
      </c>
      <c r="G125" s="2">
        <f t="shared" si="9"/>
        <v>125.5</v>
      </c>
      <c r="H125" s="2">
        <f t="shared" si="10"/>
        <v>15750.25</v>
      </c>
    </row>
    <row r="126" spans="1:8" x14ac:dyDescent="0.25">
      <c r="A126">
        <v>0</v>
      </c>
      <c r="B126">
        <v>0</v>
      </c>
      <c r="C126" s="2">
        <f t="shared" si="6"/>
        <v>0</v>
      </c>
      <c r="D126" s="2">
        <f t="shared" si="6"/>
        <v>0</v>
      </c>
      <c r="E126" s="2">
        <f t="shared" si="7"/>
        <v>56.5</v>
      </c>
      <c r="F126" s="2">
        <f t="shared" si="8"/>
        <v>66.5</v>
      </c>
      <c r="G126" s="2">
        <f t="shared" si="9"/>
        <v>-10</v>
      </c>
      <c r="H126" s="2">
        <f t="shared" si="10"/>
        <v>100</v>
      </c>
    </row>
    <row r="127" spans="1:8" x14ac:dyDescent="0.25">
      <c r="A127">
        <v>92.857142857142861</v>
      </c>
      <c r="B127">
        <v>93.75</v>
      </c>
      <c r="C127" s="2">
        <f t="shared" si="6"/>
        <v>92.857142857142861</v>
      </c>
      <c r="D127" s="2">
        <f t="shared" si="6"/>
        <v>93.75</v>
      </c>
      <c r="E127" s="2">
        <f t="shared" si="7"/>
        <v>181</v>
      </c>
      <c r="F127" s="2">
        <f t="shared" si="8"/>
        <v>209</v>
      </c>
      <c r="G127" s="2">
        <f t="shared" si="9"/>
        <v>-28</v>
      </c>
      <c r="H127" s="2">
        <f t="shared" si="10"/>
        <v>784</v>
      </c>
    </row>
    <row r="128" spans="1:8" x14ac:dyDescent="0.25">
      <c r="A128">
        <v>100</v>
      </c>
      <c r="B128">
        <v>88.235294117647058</v>
      </c>
      <c r="C128" s="2">
        <f t="shared" si="6"/>
        <v>100</v>
      </c>
      <c r="D128" s="2">
        <f t="shared" si="6"/>
        <v>88.235294117647058</v>
      </c>
      <c r="E128" s="2">
        <f t="shared" si="7"/>
        <v>257.5</v>
      </c>
      <c r="F128" s="2">
        <f t="shared" si="8"/>
        <v>183.5</v>
      </c>
      <c r="G128" s="2">
        <f t="shared" si="9"/>
        <v>74</v>
      </c>
      <c r="H128" s="2">
        <f t="shared" si="10"/>
        <v>5476</v>
      </c>
    </row>
    <row r="129" spans="1:8" x14ac:dyDescent="0.25">
      <c r="A129">
        <v>86.58536585365853</v>
      </c>
      <c r="B129">
        <v>88.059701492537314</v>
      </c>
      <c r="C129" s="2">
        <f t="shared" si="6"/>
        <v>86.58536585365853</v>
      </c>
      <c r="D129" s="2">
        <f t="shared" si="6"/>
        <v>88.059701492537314</v>
      </c>
      <c r="E129" s="2">
        <f t="shared" si="7"/>
        <v>157</v>
      </c>
      <c r="F129" s="2">
        <f t="shared" si="8"/>
        <v>182</v>
      </c>
      <c r="G129" s="2">
        <f t="shared" si="9"/>
        <v>-25</v>
      </c>
      <c r="H129" s="2">
        <f t="shared" si="10"/>
        <v>625</v>
      </c>
    </row>
    <row r="130" spans="1:8" x14ac:dyDescent="0.25">
      <c r="A130">
        <v>100</v>
      </c>
      <c r="B130">
        <v>100</v>
      </c>
      <c r="C130" s="2">
        <f t="shared" si="6"/>
        <v>100</v>
      </c>
      <c r="D130" s="2">
        <f t="shared" si="6"/>
        <v>100</v>
      </c>
      <c r="E130" s="2">
        <f t="shared" si="7"/>
        <v>257.5</v>
      </c>
      <c r="F130" s="2">
        <f t="shared" si="8"/>
        <v>265</v>
      </c>
      <c r="G130" s="2">
        <f t="shared" si="9"/>
        <v>-7.5</v>
      </c>
      <c r="H130" s="2">
        <f t="shared" si="10"/>
        <v>56.25</v>
      </c>
    </row>
    <row r="131" spans="1:8" x14ac:dyDescent="0.25">
      <c r="A131">
        <v>100</v>
      </c>
      <c r="B131">
        <v>87.5</v>
      </c>
      <c r="C131" s="2">
        <f t="shared" ref="C131:D194" si="11">IF(AND($A131&lt;&gt;"",$B131&lt;&gt;""),A131,"")</f>
        <v>100</v>
      </c>
      <c r="D131" s="2">
        <f t="shared" si="11"/>
        <v>87.5</v>
      </c>
      <c r="E131" s="2">
        <f t="shared" ref="E131:E194" si="12">IF(C131="","",_xlfn.RANK.AVG(C131,C$2:C$468,1))</f>
        <v>257.5</v>
      </c>
      <c r="F131" s="2">
        <f t="shared" ref="F131:F194" si="13">IF(D131="","",_xlfn.RANK.AVG(D131,D$2:D$468,1))</f>
        <v>179.5</v>
      </c>
      <c r="G131" s="2">
        <f t="shared" ref="G131:G194" si="14">IF(C131="","",E131-F131)</f>
        <v>78</v>
      </c>
      <c r="H131" s="2">
        <f t="shared" ref="H131:H194" si="15">IF(C131="","",G131^2)</f>
        <v>6084</v>
      </c>
    </row>
    <row r="132" spans="1:8" x14ac:dyDescent="0.25">
      <c r="A132">
        <v>100</v>
      </c>
      <c r="B132">
        <v>92.307692307692307</v>
      </c>
      <c r="C132" s="2">
        <f t="shared" si="11"/>
        <v>100</v>
      </c>
      <c r="D132" s="2">
        <f t="shared" si="11"/>
        <v>92.307692307692307</v>
      </c>
      <c r="E132" s="2">
        <f t="shared" si="12"/>
        <v>257.5</v>
      </c>
      <c r="F132" s="2">
        <f t="shared" si="13"/>
        <v>199</v>
      </c>
      <c r="G132" s="2">
        <f t="shared" si="14"/>
        <v>58.5</v>
      </c>
      <c r="H132" s="2">
        <f t="shared" si="15"/>
        <v>3422.25</v>
      </c>
    </row>
    <row r="133" spans="1:8" x14ac:dyDescent="0.25">
      <c r="A133">
        <v>0</v>
      </c>
      <c r="B133">
        <v>100</v>
      </c>
      <c r="C133" s="2">
        <f t="shared" si="11"/>
        <v>0</v>
      </c>
      <c r="D133" s="2">
        <f t="shared" si="11"/>
        <v>100</v>
      </c>
      <c r="E133" s="2">
        <f t="shared" si="12"/>
        <v>56.5</v>
      </c>
      <c r="F133" s="2">
        <f t="shared" si="13"/>
        <v>265</v>
      </c>
      <c r="G133" s="2">
        <f t="shared" si="14"/>
        <v>-208.5</v>
      </c>
      <c r="H133" s="2">
        <f t="shared" si="15"/>
        <v>43472.25</v>
      </c>
    </row>
    <row r="134" spans="1:8" x14ac:dyDescent="0.25">
      <c r="A134">
        <v>0</v>
      </c>
      <c r="B134">
        <v>0</v>
      </c>
      <c r="C134" s="2">
        <f t="shared" si="11"/>
        <v>0</v>
      </c>
      <c r="D134" s="2">
        <f t="shared" si="11"/>
        <v>0</v>
      </c>
      <c r="E134" s="2">
        <f t="shared" si="12"/>
        <v>56.5</v>
      </c>
      <c r="F134" s="2">
        <f t="shared" si="13"/>
        <v>66.5</v>
      </c>
      <c r="G134" s="2">
        <f t="shared" si="14"/>
        <v>-10</v>
      </c>
      <c r="H134" s="2">
        <f t="shared" si="15"/>
        <v>100</v>
      </c>
    </row>
    <row r="135" spans="1:8" x14ac:dyDescent="0.25">
      <c r="A135">
        <v>0</v>
      </c>
      <c r="B135">
        <v>0</v>
      </c>
      <c r="C135" s="2">
        <f t="shared" si="11"/>
        <v>0</v>
      </c>
      <c r="D135" s="2">
        <f t="shared" si="11"/>
        <v>0</v>
      </c>
      <c r="E135" s="2">
        <f t="shared" si="12"/>
        <v>56.5</v>
      </c>
      <c r="F135" s="2">
        <f t="shared" si="13"/>
        <v>66.5</v>
      </c>
      <c r="G135" s="2">
        <f t="shared" si="14"/>
        <v>-10</v>
      </c>
      <c r="H135" s="2">
        <f t="shared" si="15"/>
        <v>100</v>
      </c>
    </row>
    <row r="136" spans="1:8" x14ac:dyDescent="0.25">
      <c r="A136">
        <v>100</v>
      </c>
      <c r="B136">
        <v>97.142857142857139</v>
      </c>
      <c r="C136" s="2">
        <f t="shared" si="11"/>
        <v>100</v>
      </c>
      <c r="D136" s="2">
        <f t="shared" si="11"/>
        <v>97.142857142857139</v>
      </c>
      <c r="E136" s="2">
        <f t="shared" si="12"/>
        <v>257.5</v>
      </c>
      <c r="F136" s="2">
        <f t="shared" si="13"/>
        <v>223</v>
      </c>
      <c r="G136" s="2">
        <f t="shared" si="14"/>
        <v>34.5</v>
      </c>
      <c r="H136" s="2">
        <f t="shared" si="15"/>
        <v>1190.25</v>
      </c>
    </row>
    <row r="137" spans="1:8" x14ac:dyDescent="0.25">
      <c r="A137">
        <v>93.75</v>
      </c>
      <c r="B137">
        <v>95.744680851063833</v>
      </c>
      <c r="C137" s="2">
        <f t="shared" si="11"/>
        <v>93.75</v>
      </c>
      <c r="D137" s="2">
        <f t="shared" si="11"/>
        <v>95.744680851063833</v>
      </c>
      <c r="E137" s="2">
        <f t="shared" si="12"/>
        <v>186</v>
      </c>
      <c r="F137" s="2">
        <f t="shared" si="13"/>
        <v>215.5</v>
      </c>
      <c r="G137" s="2">
        <f t="shared" si="14"/>
        <v>-29.5</v>
      </c>
      <c r="H137" s="2">
        <f t="shared" si="15"/>
        <v>870.25</v>
      </c>
    </row>
    <row r="138" spans="1:8" x14ac:dyDescent="0.25">
      <c r="A138">
        <v>75</v>
      </c>
      <c r="B138">
        <v>90</v>
      </c>
      <c r="C138" s="2">
        <f t="shared" si="11"/>
        <v>75</v>
      </c>
      <c r="D138" s="2">
        <f t="shared" si="11"/>
        <v>90</v>
      </c>
      <c r="E138" s="2">
        <f t="shared" si="12"/>
        <v>141</v>
      </c>
      <c r="F138" s="2">
        <f t="shared" si="13"/>
        <v>190.5</v>
      </c>
      <c r="G138" s="2">
        <f t="shared" si="14"/>
        <v>-49.5</v>
      </c>
      <c r="H138" s="2">
        <f t="shared" si="15"/>
        <v>2450.25</v>
      </c>
    </row>
    <row r="139" spans="1:8" x14ac:dyDescent="0.25">
      <c r="A139">
        <v>100</v>
      </c>
      <c r="B139">
        <v>80</v>
      </c>
      <c r="C139" s="2">
        <f t="shared" si="11"/>
        <v>100</v>
      </c>
      <c r="D139" s="2">
        <f t="shared" si="11"/>
        <v>80</v>
      </c>
      <c r="E139" s="2">
        <f t="shared" si="12"/>
        <v>257.5</v>
      </c>
      <c r="F139" s="2">
        <f t="shared" si="13"/>
        <v>160</v>
      </c>
      <c r="G139" s="2">
        <f t="shared" si="14"/>
        <v>97.5</v>
      </c>
      <c r="H139" s="2">
        <f t="shared" si="15"/>
        <v>9506.25</v>
      </c>
    </row>
    <row r="140" spans="1:8" x14ac:dyDescent="0.25">
      <c r="A140">
        <v>100</v>
      </c>
      <c r="B140">
        <v>100</v>
      </c>
      <c r="C140" s="2">
        <f t="shared" si="11"/>
        <v>100</v>
      </c>
      <c r="D140" s="2">
        <f t="shared" si="11"/>
        <v>100</v>
      </c>
      <c r="E140" s="2">
        <f t="shared" si="12"/>
        <v>257.5</v>
      </c>
      <c r="F140" s="2">
        <f t="shared" si="13"/>
        <v>265</v>
      </c>
      <c r="G140" s="2">
        <f t="shared" si="14"/>
        <v>-7.5</v>
      </c>
      <c r="H140" s="2">
        <f t="shared" si="15"/>
        <v>56.25</v>
      </c>
    </row>
    <row r="141" spans="1:8" x14ac:dyDescent="0.25">
      <c r="A141">
        <v>100</v>
      </c>
      <c r="B141">
        <v>0</v>
      </c>
      <c r="C141" s="2">
        <f t="shared" si="11"/>
        <v>100</v>
      </c>
      <c r="D141" s="2">
        <f t="shared" si="11"/>
        <v>0</v>
      </c>
      <c r="E141" s="2">
        <f t="shared" si="12"/>
        <v>257.5</v>
      </c>
      <c r="F141" s="2">
        <f t="shared" si="13"/>
        <v>66.5</v>
      </c>
      <c r="G141" s="2">
        <f t="shared" si="14"/>
        <v>191</v>
      </c>
      <c r="H141" s="2">
        <f t="shared" si="15"/>
        <v>36481</v>
      </c>
    </row>
    <row r="142" spans="1:8" x14ac:dyDescent="0.25">
      <c r="A142">
        <v>0</v>
      </c>
      <c r="B142">
        <v>0</v>
      </c>
      <c r="C142" s="2">
        <f t="shared" si="11"/>
        <v>0</v>
      </c>
      <c r="D142" s="2">
        <f t="shared" si="11"/>
        <v>0</v>
      </c>
      <c r="E142" s="2">
        <f t="shared" si="12"/>
        <v>56.5</v>
      </c>
      <c r="F142" s="2">
        <f t="shared" si="13"/>
        <v>66.5</v>
      </c>
      <c r="G142" s="2">
        <f t="shared" si="14"/>
        <v>-10</v>
      </c>
      <c r="H142" s="2">
        <f t="shared" si="15"/>
        <v>100</v>
      </c>
    </row>
    <row r="143" spans="1:8" x14ac:dyDescent="0.25">
      <c r="A143">
        <v>100</v>
      </c>
      <c r="B143">
        <v>100</v>
      </c>
      <c r="C143" s="2">
        <f t="shared" si="11"/>
        <v>100</v>
      </c>
      <c r="D143" s="2">
        <f t="shared" si="11"/>
        <v>100</v>
      </c>
      <c r="E143" s="2">
        <f t="shared" si="12"/>
        <v>257.5</v>
      </c>
      <c r="F143" s="2">
        <f t="shared" si="13"/>
        <v>265</v>
      </c>
      <c r="G143" s="2">
        <f t="shared" si="14"/>
        <v>-7.5</v>
      </c>
      <c r="H143" s="2">
        <f t="shared" si="15"/>
        <v>56.25</v>
      </c>
    </row>
    <row r="144" spans="1:8" x14ac:dyDescent="0.25">
      <c r="A144">
        <v>100</v>
      </c>
      <c r="B144">
        <v>100</v>
      </c>
      <c r="C144" s="2">
        <f t="shared" si="11"/>
        <v>100</v>
      </c>
      <c r="D144" s="2">
        <f t="shared" si="11"/>
        <v>100</v>
      </c>
      <c r="E144" s="2">
        <f t="shared" si="12"/>
        <v>257.5</v>
      </c>
      <c r="F144" s="2">
        <f t="shared" si="13"/>
        <v>265</v>
      </c>
      <c r="G144" s="2">
        <f t="shared" si="14"/>
        <v>-7.5</v>
      </c>
      <c r="H144" s="2">
        <f t="shared" si="15"/>
        <v>56.25</v>
      </c>
    </row>
    <row r="145" spans="1:8" x14ac:dyDescent="0.25">
      <c r="A145">
        <v>100</v>
      </c>
      <c r="B145">
        <v>100</v>
      </c>
      <c r="C145" s="2">
        <f t="shared" si="11"/>
        <v>100</v>
      </c>
      <c r="D145" s="2">
        <f t="shared" si="11"/>
        <v>100</v>
      </c>
      <c r="E145" s="2">
        <f t="shared" si="12"/>
        <v>257.5</v>
      </c>
      <c r="F145" s="2">
        <f t="shared" si="13"/>
        <v>265</v>
      </c>
      <c r="G145" s="2">
        <f t="shared" si="14"/>
        <v>-7.5</v>
      </c>
      <c r="H145" s="2">
        <f t="shared" si="15"/>
        <v>56.25</v>
      </c>
    </row>
    <row r="146" spans="1:8" x14ac:dyDescent="0.25">
      <c r="A146">
        <v>100</v>
      </c>
      <c r="B146">
        <v>0</v>
      </c>
      <c r="C146" s="2">
        <f t="shared" si="11"/>
        <v>100</v>
      </c>
      <c r="D146" s="2">
        <f t="shared" si="11"/>
        <v>0</v>
      </c>
      <c r="E146" s="2">
        <f t="shared" si="12"/>
        <v>257.5</v>
      </c>
      <c r="F146" s="2">
        <f t="shared" si="13"/>
        <v>66.5</v>
      </c>
      <c r="G146" s="2">
        <f t="shared" si="14"/>
        <v>191</v>
      </c>
      <c r="H146" s="2">
        <f t="shared" si="15"/>
        <v>36481</v>
      </c>
    </row>
    <row r="147" spans="1:8" x14ac:dyDescent="0.25">
      <c r="A147">
        <v>97.5</v>
      </c>
      <c r="B147">
        <v>90.476190476190482</v>
      </c>
      <c r="C147" s="2">
        <f t="shared" si="11"/>
        <v>97.5</v>
      </c>
      <c r="D147" s="2">
        <f t="shared" si="11"/>
        <v>90.476190476190482</v>
      </c>
      <c r="E147" s="2">
        <f t="shared" si="12"/>
        <v>204.5</v>
      </c>
      <c r="F147" s="2">
        <f t="shared" si="13"/>
        <v>195.5</v>
      </c>
      <c r="G147" s="2">
        <f t="shared" si="14"/>
        <v>9</v>
      </c>
      <c r="H147" s="2">
        <f t="shared" si="15"/>
        <v>81</v>
      </c>
    </row>
    <row r="148" spans="1:8" x14ac:dyDescent="0.25">
      <c r="A148">
        <v>0</v>
      </c>
      <c r="B148">
        <v>0</v>
      </c>
      <c r="C148" s="2">
        <f t="shared" si="11"/>
        <v>0</v>
      </c>
      <c r="D148" s="2">
        <f t="shared" si="11"/>
        <v>0</v>
      </c>
      <c r="E148" s="2">
        <f t="shared" si="12"/>
        <v>56.5</v>
      </c>
      <c r="F148" s="2">
        <f t="shared" si="13"/>
        <v>66.5</v>
      </c>
      <c r="G148" s="2">
        <f t="shared" si="14"/>
        <v>-10</v>
      </c>
      <c r="H148" s="2">
        <f t="shared" si="15"/>
        <v>100</v>
      </c>
    </row>
    <row r="149" spans="1:8" x14ac:dyDescent="0.25">
      <c r="A149">
        <v>100</v>
      </c>
      <c r="B149">
        <v>100</v>
      </c>
      <c r="C149" s="2">
        <f t="shared" si="11"/>
        <v>100</v>
      </c>
      <c r="D149" s="2">
        <f t="shared" si="11"/>
        <v>100</v>
      </c>
      <c r="E149" s="2">
        <f t="shared" si="12"/>
        <v>257.5</v>
      </c>
      <c r="F149" s="2">
        <f t="shared" si="13"/>
        <v>265</v>
      </c>
      <c r="G149" s="2">
        <f t="shared" si="14"/>
        <v>-7.5</v>
      </c>
      <c r="H149" s="2">
        <f t="shared" si="15"/>
        <v>56.25</v>
      </c>
    </row>
    <row r="150" spans="1:8" x14ac:dyDescent="0.25">
      <c r="A150">
        <v>0</v>
      </c>
      <c r="B150">
        <v>100</v>
      </c>
      <c r="C150" s="2">
        <f t="shared" si="11"/>
        <v>0</v>
      </c>
      <c r="D150" s="2">
        <f t="shared" si="11"/>
        <v>100</v>
      </c>
      <c r="E150" s="2">
        <f t="shared" si="12"/>
        <v>56.5</v>
      </c>
      <c r="F150" s="2">
        <f t="shared" si="13"/>
        <v>265</v>
      </c>
      <c r="G150" s="2">
        <f t="shared" si="14"/>
        <v>-208.5</v>
      </c>
      <c r="H150" s="2">
        <f t="shared" si="15"/>
        <v>43472.25</v>
      </c>
    </row>
    <row r="151" spans="1:8" x14ac:dyDescent="0.25">
      <c r="A151">
        <v>0</v>
      </c>
      <c r="B151">
        <v>100</v>
      </c>
      <c r="C151" s="2">
        <f t="shared" si="11"/>
        <v>0</v>
      </c>
      <c r="D151" s="2">
        <f t="shared" si="11"/>
        <v>100</v>
      </c>
      <c r="E151" s="2">
        <f t="shared" si="12"/>
        <v>56.5</v>
      </c>
      <c r="F151" s="2">
        <f t="shared" si="13"/>
        <v>265</v>
      </c>
      <c r="G151" s="2">
        <f t="shared" si="14"/>
        <v>-208.5</v>
      </c>
      <c r="H151" s="2">
        <f t="shared" si="15"/>
        <v>43472.25</v>
      </c>
    </row>
    <row r="152" spans="1:8" x14ac:dyDescent="0.25">
      <c r="A152">
        <v>91.666666666666657</v>
      </c>
      <c r="B152">
        <v>0</v>
      </c>
      <c r="C152" s="2">
        <f t="shared" si="11"/>
        <v>91.666666666666657</v>
      </c>
      <c r="D152" s="2">
        <f t="shared" si="11"/>
        <v>0</v>
      </c>
      <c r="E152" s="2">
        <f t="shared" si="12"/>
        <v>174</v>
      </c>
      <c r="F152" s="2">
        <f t="shared" si="13"/>
        <v>66.5</v>
      </c>
      <c r="G152" s="2">
        <f t="shared" si="14"/>
        <v>107.5</v>
      </c>
      <c r="H152" s="2">
        <f t="shared" si="15"/>
        <v>11556.25</v>
      </c>
    </row>
    <row r="153" spans="1:8" x14ac:dyDescent="0.25">
      <c r="A153">
        <v>100</v>
      </c>
      <c r="B153">
        <v>100</v>
      </c>
      <c r="C153" s="2">
        <f t="shared" si="11"/>
        <v>100</v>
      </c>
      <c r="D153" s="2">
        <f t="shared" si="11"/>
        <v>100</v>
      </c>
      <c r="E153" s="2">
        <f t="shared" si="12"/>
        <v>257.5</v>
      </c>
      <c r="F153" s="2">
        <f t="shared" si="13"/>
        <v>265</v>
      </c>
      <c r="G153" s="2">
        <f t="shared" si="14"/>
        <v>-7.5</v>
      </c>
      <c r="H153" s="2">
        <f t="shared" si="15"/>
        <v>56.25</v>
      </c>
    </row>
    <row r="154" spans="1:8" x14ac:dyDescent="0.25">
      <c r="A154">
        <v>0</v>
      </c>
      <c r="B154">
        <v>100</v>
      </c>
      <c r="C154" s="2">
        <f t="shared" si="11"/>
        <v>0</v>
      </c>
      <c r="D154" s="2">
        <f t="shared" si="11"/>
        <v>100</v>
      </c>
      <c r="E154" s="2">
        <f t="shared" si="12"/>
        <v>56.5</v>
      </c>
      <c r="F154" s="2">
        <f t="shared" si="13"/>
        <v>265</v>
      </c>
      <c r="G154" s="2">
        <f t="shared" si="14"/>
        <v>-208.5</v>
      </c>
      <c r="H154" s="2">
        <f t="shared" si="15"/>
        <v>43472.25</v>
      </c>
    </row>
    <row r="155" spans="1:8" x14ac:dyDescent="0.25">
      <c r="A155">
        <v>100</v>
      </c>
      <c r="B155">
        <v>100</v>
      </c>
      <c r="C155" s="2">
        <f t="shared" si="11"/>
        <v>100</v>
      </c>
      <c r="D155" s="2">
        <f t="shared" si="11"/>
        <v>100</v>
      </c>
      <c r="E155" s="2">
        <f t="shared" si="12"/>
        <v>257.5</v>
      </c>
      <c r="F155" s="2">
        <f t="shared" si="13"/>
        <v>265</v>
      </c>
      <c r="G155" s="2">
        <f t="shared" si="14"/>
        <v>-7.5</v>
      </c>
      <c r="H155" s="2">
        <f t="shared" si="15"/>
        <v>56.25</v>
      </c>
    </row>
    <row r="156" spans="1:8" x14ac:dyDescent="0.25">
      <c r="A156">
        <v>100</v>
      </c>
      <c r="B156">
        <v>66.666666666666657</v>
      </c>
      <c r="C156" s="2">
        <f t="shared" si="11"/>
        <v>100</v>
      </c>
      <c r="D156" s="2">
        <f t="shared" si="11"/>
        <v>66.666666666666657</v>
      </c>
      <c r="E156" s="2">
        <f t="shared" si="12"/>
        <v>257.5</v>
      </c>
      <c r="F156" s="2">
        <f t="shared" si="13"/>
        <v>151</v>
      </c>
      <c r="G156" s="2">
        <f t="shared" si="14"/>
        <v>106.5</v>
      </c>
      <c r="H156" s="2">
        <f t="shared" si="15"/>
        <v>11342.25</v>
      </c>
    </row>
    <row r="157" spans="1:8" x14ac:dyDescent="0.25">
      <c r="A157">
        <v>100</v>
      </c>
      <c r="B157">
        <v>0</v>
      </c>
      <c r="C157" s="2">
        <f t="shared" si="11"/>
        <v>100</v>
      </c>
      <c r="D157" s="2">
        <f t="shared" si="11"/>
        <v>0</v>
      </c>
      <c r="E157" s="2">
        <f t="shared" si="12"/>
        <v>257.5</v>
      </c>
      <c r="F157" s="2">
        <f t="shared" si="13"/>
        <v>66.5</v>
      </c>
      <c r="G157" s="2">
        <f t="shared" si="14"/>
        <v>191</v>
      </c>
      <c r="H157" s="2">
        <f t="shared" si="15"/>
        <v>36481</v>
      </c>
    </row>
    <row r="158" spans="1:8" x14ac:dyDescent="0.25">
      <c r="A158">
        <v>100</v>
      </c>
      <c r="B158">
        <v>100</v>
      </c>
      <c r="C158" s="2">
        <f t="shared" si="11"/>
        <v>100</v>
      </c>
      <c r="D158" s="2">
        <f t="shared" si="11"/>
        <v>100</v>
      </c>
      <c r="E158" s="2">
        <f t="shared" si="12"/>
        <v>257.5</v>
      </c>
      <c r="F158" s="2">
        <f t="shared" si="13"/>
        <v>265</v>
      </c>
      <c r="G158" s="2">
        <f t="shared" si="14"/>
        <v>-7.5</v>
      </c>
      <c r="H158" s="2">
        <f t="shared" si="15"/>
        <v>56.25</v>
      </c>
    </row>
    <row r="159" spans="1:8" x14ac:dyDescent="0.25">
      <c r="A159">
        <v>100</v>
      </c>
      <c r="B159">
        <v>100</v>
      </c>
      <c r="C159" s="2">
        <f t="shared" si="11"/>
        <v>100</v>
      </c>
      <c r="D159" s="2">
        <f t="shared" si="11"/>
        <v>100</v>
      </c>
      <c r="E159" s="2">
        <f t="shared" si="12"/>
        <v>257.5</v>
      </c>
      <c r="F159" s="2">
        <f t="shared" si="13"/>
        <v>265</v>
      </c>
      <c r="G159" s="2">
        <f t="shared" si="14"/>
        <v>-7.5</v>
      </c>
      <c r="H159" s="2">
        <f t="shared" si="15"/>
        <v>56.25</v>
      </c>
    </row>
    <row r="160" spans="1:8" x14ac:dyDescent="0.25">
      <c r="A160">
        <v>0</v>
      </c>
      <c r="B160">
        <v>100</v>
      </c>
      <c r="C160" s="2">
        <f t="shared" si="11"/>
        <v>0</v>
      </c>
      <c r="D160" s="2">
        <f t="shared" si="11"/>
        <v>100</v>
      </c>
      <c r="E160" s="2">
        <f t="shared" si="12"/>
        <v>56.5</v>
      </c>
      <c r="F160" s="2">
        <f t="shared" si="13"/>
        <v>265</v>
      </c>
      <c r="G160" s="2">
        <f t="shared" si="14"/>
        <v>-208.5</v>
      </c>
      <c r="H160" s="2">
        <f t="shared" si="15"/>
        <v>43472.25</v>
      </c>
    </row>
    <row r="161" spans="1:8" x14ac:dyDescent="0.25">
      <c r="A161">
        <v>100</v>
      </c>
      <c r="B161">
        <v>96.610169491525426</v>
      </c>
      <c r="C161" s="2">
        <f t="shared" si="11"/>
        <v>100</v>
      </c>
      <c r="D161" s="2">
        <f t="shared" si="11"/>
        <v>96.610169491525426</v>
      </c>
      <c r="E161" s="2">
        <f t="shared" si="12"/>
        <v>257.5</v>
      </c>
      <c r="F161" s="2">
        <f t="shared" si="13"/>
        <v>221</v>
      </c>
      <c r="G161" s="2">
        <f t="shared" si="14"/>
        <v>36.5</v>
      </c>
      <c r="H161" s="2">
        <f t="shared" si="15"/>
        <v>1332.25</v>
      </c>
    </row>
    <row r="162" spans="1:8" x14ac:dyDescent="0.25">
      <c r="A162">
        <v>0</v>
      </c>
      <c r="B162">
        <v>0</v>
      </c>
      <c r="C162" s="2">
        <f t="shared" si="11"/>
        <v>0</v>
      </c>
      <c r="D162" s="2">
        <f t="shared" si="11"/>
        <v>0</v>
      </c>
      <c r="E162" s="2">
        <f t="shared" si="12"/>
        <v>56.5</v>
      </c>
      <c r="F162" s="2">
        <f t="shared" si="13"/>
        <v>66.5</v>
      </c>
      <c r="G162" s="2">
        <f t="shared" si="14"/>
        <v>-10</v>
      </c>
      <c r="H162" s="2">
        <f t="shared" si="15"/>
        <v>100</v>
      </c>
    </row>
    <row r="163" spans="1:8" x14ac:dyDescent="0.25">
      <c r="A163">
        <v>100</v>
      </c>
      <c r="B163">
        <v>100</v>
      </c>
      <c r="C163" s="2">
        <f t="shared" si="11"/>
        <v>100</v>
      </c>
      <c r="D163" s="2">
        <f t="shared" si="11"/>
        <v>100</v>
      </c>
      <c r="E163" s="2">
        <f t="shared" si="12"/>
        <v>257.5</v>
      </c>
      <c r="F163" s="2">
        <f t="shared" si="13"/>
        <v>265</v>
      </c>
      <c r="G163" s="2">
        <f t="shared" si="14"/>
        <v>-7.5</v>
      </c>
      <c r="H163" s="2">
        <f t="shared" si="15"/>
        <v>56.25</v>
      </c>
    </row>
    <row r="164" spans="1:8" x14ac:dyDescent="0.25">
      <c r="A164">
        <v>97.5</v>
      </c>
      <c r="B164">
        <v>93.243243243243242</v>
      </c>
      <c r="C164" s="2">
        <f t="shared" si="11"/>
        <v>97.5</v>
      </c>
      <c r="D164" s="2">
        <f t="shared" si="11"/>
        <v>93.243243243243242</v>
      </c>
      <c r="E164" s="2">
        <f t="shared" si="12"/>
        <v>204.5</v>
      </c>
      <c r="F164" s="2">
        <f t="shared" si="13"/>
        <v>204</v>
      </c>
      <c r="G164" s="2">
        <f t="shared" si="14"/>
        <v>0.5</v>
      </c>
      <c r="H164" s="2">
        <f t="shared" si="15"/>
        <v>0.25</v>
      </c>
    </row>
    <row r="165" spans="1:8" x14ac:dyDescent="0.25">
      <c r="A165">
        <v>0</v>
      </c>
      <c r="B165">
        <v>30</v>
      </c>
      <c r="C165" s="2">
        <f t="shared" si="11"/>
        <v>0</v>
      </c>
      <c r="D165" s="2">
        <f t="shared" si="11"/>
        <v>30</v>
      </c>
      <c r="E165" s="2">
        <f t="shared" si="12"/>
        <v>56.5</v>
      </c>
      <c r="F165" s="2">
        <f t="shared" si="13"/>
        <v>140</v>
      </c>
      <c r="G165" s="2">
        <f t="shared" si="14"/>
        <v>-83.5</v>
      </c>
      <c r="H165" s="2">
        <f t="shared" si="15"/>
        <v>6972.25</v>
      </c>
    </row>
    <row r="166" spans="1:8" x14ac:dyDescent="0.25">
      <c r="A166">
        <v>0</v>
      </c>
      <c r="B166">
        <v>100</v>
      </c>
      <c r="C166" s="2">
        <f t="shared" si="11"/>
        <v>0</v>
      </c>
      <c r="D166" s="2">
        <f t="shared" si="11"/>
        <v>100</v>
      </c>
      <c r="E166" s="2">
        <f t="shared" si="12"/>
        <v>56.5</v>
      </c>
      <c r="F166" s="2">
        <f t="shared" si="13"/>
        <v>265</v>
      </c>
      <c r="G166" s="2">
        <f t="shared" si="14"/>
        <v>-208.5</v>
      </c>
      <c r="H166" s="2">
        <f t="shared" si="15"/>
        <v>43472.25</v>
      </c>
    </row>
    <row r="167" spans="1:8" x14ac:dyDescent="0.25">
      <c r="A167">
        <v>100</v>
      </c>
      <c r="B167">
        <v>0</v>
      </c>
      <c r="C167" s="2">
        <f t="shared" si="11"/>
        <v>100</v>
      </c>
      <c r="D167" s="2">
        <f t="shared" si="11"/>
        <v>0</v>
      </c>
      <c r="E167" s="2">
        <f t="shared" si="12"/>
        <v>257.5</v>
      </c>
      <c r="F167" s="2">
        <f t="shared" si="13"/>
        <v>66.5</v>
      </c>
      <c r="G167" s="2">
        <f t="shared" si="14"/>
        <v>191</v>
      </c>
      <c r="H167" s="2">
        <f t="shared" si="15"/>
        <v>36481</v>
      </c>
    </row>
    <row r="168" spans="1:8" x14ac:dyDescent="0.25">
      <c r="A168">
        <v>100</v>
      </c>
      <c r="B168">
        <v>100</v>
      </c>
      <c r="C168" s="2">
        <f t="shared" si="11"/>
        <v>100</v>
      </c>
      <c r="D168" s="2">
        <f t="shared" si="11"/>
        <v>100</v>
      </c>
      <c r="E168" s="2">
        <f t="shared" si="12"/>
        <v>257.5</v>
      </c>
      <c r="F168" s="2">
        <f t="shared" si="13"/>
        <v>265</v>
      </c>
      <c r="G168" s="2">
        <f t="shared" si="14"/>
        <v>-7.5</v>
      </c>
      <c r="H168" s="2">
        <f t="shared" si="15"/>
        <v>56.25</v>
      </c>
    </row>
    <row r="169" spans="1:8" x14ac:dyDescent="0.25">
      <c r="A169">
        <v>0</v>
      </c>
      <c r="B169">
        <v>100</v>
      </c>
      <c r="C169" s="2">
        <f t="shared" si="11"/>
        <v>0</v>
      </c>
      <c r="D169" s="2">
        <f t="shared" si="11"/>
        <v>100</v>
      </c>
      <c r="E169" s="2">
        <f t="shared" si="12"/>
        <v>56.5</v>
      </c>
      <c r="F169" s="2">
        <f t="shared" si="13"/>
        <v>265</v>
      </c>
      <c r="G169" s="2">
        <f t="shared" si="14"/>
        <v>-208.5</v>
      </c>
      <c r="H169" s="2">
        <f t="shared" si="15"/>
        <v>43472.25</v>
      </c>
    </row>
    <row r="170" spans="1:8" x14ac:dyDescent="0.25">
      <c r="A170">
        <v>100</v>
      </c>
      <c r="B170">
        <v>100</v>
      </c>
      <c r="C170" s="2">
        <f t="shared" si="11"/>
        <v>100</v>
      </c>
      <c r="D170" s="2">
        <f t="shared" si="11"/>
        <v>100</v>
      </c>
      <c r="E170" s="2">
        <f t="shared" si="12"/>
        <v>257.5</v>
      </c>
      <c r="F170" s="2">
        <f t="shared" si="13"/>
        <v>265</v>
      </c>
      <c r="G170" s="2">
        <f t="shared" si="14"/>
        <v>-7.5</v>
      </c>
      <c r="H170" s="2">
        <f t="shared" si="15"/>
        <v>56.25</v>
      </c>
    </row>
    <row r="171" spans="1:8" x14ac:dyDescent="0.25">
      <c r="A171">
        <v>0</v>
      </c>
      <c r="B171">
        <v>100</v>
      </c>
      <c r="C171" s="2">
        <f t="shared" si="11"/>
        <v>0</v>
      </c>
      <c r="D171" s="2">
        <f t="shared" si="11"/>
        <v>100</v>
      </c>
      <c r="E171" s="2">
        <f t="shared" si="12"/>
        <v>56.5</v>
      </c>
      <c r="F171" s="2">
        <f t="shared" si="13"/>
        <v>265</v>
      </c>
      <c r="G171" s="2">
        <f t="shared" si="14"/>
        <v>-208.5</v>
      </c>
      <c r="H171" s="2">
        <f t="shared" si="15"/>
        <v>43472.25</v>
      </c>
    </row>
    <row r="172" spans="1:8" x14ac:dyDescent="0.25">
      <c r="A172">
        <v>0</v>
      </c>
      <c r="B172">
        <v>0</v>
      </c>
      <c r="C172" s="2">
        <f t="shared" si="11"/>
        <v>0</v>
      </c>
      <c r="D172" s="2">
        <f t="shared" si="11"/>
        <v>0</v>
      </c>
      <c r="E172" s="2">
        <f t="shared" si="12"/>
        <v>56.5</v>
      </c>
      <c r="F172" s="2">
        <f t="shared" si="13"/>
        <v>66.5</v>
      </c>
      <c r="G172" s="2">
        <f t="shared" si="14"/>
        <v>-10</v>
      </c>
      <c r="H172" s="2">
        <f t="shared" si="15"/>
        <v>100</v>
      </c>
    </row>
    <row r="173" spans="1:8" x14ac:dyDescent="0.25">
      <c r="A173">
        <v>100</v>
      </c>
      <c r="B173">
        <v>100</v>
      </c>
      <c r="C173" s="2">
        <f t="shared" si="11"/>
        <v>100</v>
      </c>
      <c r="D173" s="2">
        <f t="shared" si="11"/>
        <v>100</v>
      </c>
      <c r="E173" s="2">
        <f t="shared" si="12"/>
        <v>257.5</v>
      </c>
      <c r="F173" s="2">
        <f t="shared" si="13"/>
        <v>265</v>
      </c>
      <c r="G173" s="2">
        <f t="shared" si="14"/>
        <v>-7.5</v>
      </c>
      <c r="H173" s="2">
        <f t="shared" si="15"/>
        <v>56.25</v>
      </c>
    </row>
    <row r="174" spans="1:8" x14ac:dyDescent="0.25">
      <c r="A174">
        <v>0</v>
      </c>
      <c r="B174">
        <v>0</v>
      </c>
      <c r="C174" s="2">
        <f t="shared" si="11"/>
        <v>0</v>
      </c>
      <c r="D174" s="2">
        <f t="shared" si="11"/>
        <v>0</v>
      </c>
      <c r="E174" s="2">
        <f t="shared" si="12"/>
        <v>56.5</v>
      </c>
      <c r="F174" s="2">
        <f t="shared" si="13"/>
        <v>66.5</v>
      </c>
      <c r="G174" s="2">
        <f t="shared" si="14"/>
        <v>-10</v>
      </c>
      <c r="H174" s="2">
        <f t="shared" si="15"/>
        <v>100</v>
      </c>
    </row>
    <row r="175" spans="1:8" x14ac:dyDescent="0.25">
      <c r="A175">
        <v>0</v>
      </c>
      <c r="B175">
        <v>0</v>
      </c>
      <c r="C175" s="2">
        <f t="shared" si="11"/>
        <v>0</v>
      </c>
      <c r="D175" s="2">
        <f t="shared" si="11"/>
        <v>0</v>
      </c>
      <c r="E175" s="2">
        <f t="shared" si="12"/>
        <v>56.5</v>
      </c>
      <c r="F175" s="2">
        <f t="shared" si="13"/>
        <v>66.5</v>
      </c>
      <c r="G175" s="2">
        <f t="shared" si="14"/>
        <v>-10</v>
      </c>
      <c r="H175" s="2">
        <f t="shared" si="15"/>
        <v>100</v>
      </c>
    </row>
    <row r="176" spans="1:8" x14ac:dyDescent="0.25">
      <c r="A176">
        <v>0</v>
      </c>
      <c r="B176">
        <v>0</v>
      </c>
      <c r="C176" s="2">
        <f t="shared" si="11"/>
        <v>0</v>
      </c>
      <c r="D176" s="2">
        <f t="shared" si="11"/>
        <v>0</v>
      </c>
      <c r="E176" s="2">
        <f t="shared" si="12"/>
        <v>56.5</v>
      </c>
      <c r="F176" s="2">
        <f t="shared" si="13"/>
        <v>66.5</v>
      </c>
      <c r="G176" s="2">
        <f t="shared" si="14"/>
        <v>-10</v>
      </c>
      <c r="H176" s="2">
        <f t="shared" si="15"/>
        <v>100</v>
      </c>
    </row>
    <row r="177" spans="1:8" x14ac:dyDescent="0.25">
      <c r="A177">
        <v>0</v>
      </c>
      <c r="B177">
        <v>0</v>
      </c>
      <c r="C177" s="2">
        <f t="shared" si="11"/>
        <v>0</v>
      </c>
      <c r="D177" s="2">
        <f t="shared" si="11"/>
        <v>0</v>
      </c>
      <c r="E177" s="2">
        <f t="shared" si="12"/>
        <v>56.5</v>
      </c>
      <c r="F177" s="2">
        <f t="shared" si="13"/>
        <v>66.5</v>
      </c>
      <c r="G177" s="2">
        <f t="shared" si="14"/>
        <v>-10</v>
      </c>
      <c r="H177" s="2">
        <f t="shared" si="15"/>
        <v>100</v>
      </c>
    </row>
    <row r="178" spans="1:8" x14ac:dyDescent="0.25">
      <c r="A178">
        <v>0</v>
      </c>
      <c r="B178">
        <v>0</v>
      </c>
      <c r="C178" s="2">
        <f t="shared" si="11"/>
        <v>0</v>
      </c>
      <c r="D178" s="2">
        <f t="shared" si="11"/>
        <v>0</v>
      </c>
      <c r="E178" s="2">
        <f t="shared" si="12"/>
        <v>56.5</v>
      </c>
      <c r="F178" s="2">
        <f t="shared" si="13"/>
        <v>66.5</v>
      </c>
      <c r="G178" s="2">
        <f t="shared" si="14"/>
        <v>-10</v>
      </c>
      <c r="H178" s="2">
        <f t="shared" si="15"/>
        <v>100</v>
      </c>
    </row>
    <row r="179" spans="1:8" x14ac:dyDescent="0.25">
      <c r="A179">
        <v>0</v>
      </c>
      <c r="B179">
        <v>0</v>
      </c>
      <c r="C179" s="2">
        <f t="shared" si="11"/>
        <v>0</v>
      </c>
      <c r="D179" s="2">
        <f t="shared" si="11"/>
        <v>0</v>
      </c>
      <c r="E179" s="2">
        <f t="shared" si="12"/>
        <v>56.5</v>
      </c>
      <c r="F179" s="2">
        <f t="shared" si="13"/>
        <v>66.5</v>
      </c>
      <c r="G179" s="2">
        <f t="shared" si="14"/>
        <v>-10</v>
      </c>
      <c r="H179" s="2">
        <f t="shared" si="15"/>
        <v>100</v>
      </c>
    </row>
    <row r="180" spans="1:8" x14ac:dyDescent="0.25">
      <c r="A180">
        <v>0</v>
      </c>
      <c r="B180">
        <v>0</v>
      </c>
      <c r="C180" s="2">
        <f t="shared" si="11"/>
        <v>0</v>
      </c>
      <c r="D180" s="2">
        <f t="shared" si="11"/>
        <v>0</v>
      </c>
      <c r="E180" s="2">
        <f t="shared" si="12"/>
        <v>56.5</v>
      </c>
      <c r="F180" s="2">
        <f t="shared" si="13"/>
        <v>66.5</v>
      </c>
      <c r="G180" s="2">
        <f t="shared" si="14"/>
        <v>-10</v>
      </c>
      <c r="H180" s="2">
        <f t="shared" si="15"/>
        <v>100</v>
      </c>
    </row>
    <row r="181" spans="1:8" x14ac:dyDescent="0.25">
      <c r="A181">
        <v>0</v>
      </c>
      <c r="B181">
        <v>0</v>
      </c>
      <c r="C181" s="2">
        <f t="shared" si="11"/>
        <v>0</v>
      </c>
      <c r="D181" s="2">
        <f t="shared" si="11"/>
        <v>0</v>
      </c>
      <c r="E181" s="2">
        <f t="shared" si="12"/>
        <v>56.5</v>
      </c>
      <c r="F181" s="2">
        <f t="shared" si="13"/>
        <v>66.5</v>
      </c>
      <c r="G181" s="2">
        <f t="shared" si="14"/>
        <v>-10</v>
      </c>
      <c r="H181" s="2">
        <f t="shared" si="15"/>
        <v>100</v>
      </c>
    </row>
    <row r="182" spans="1:8" x14ac:dyDescent="0.25">
      <c r="A182">
        <v>0</v>
      </c>
      <c r="B182">
        <v>0</v>
      </c>
      <c r="C182" s="2">
        <f t="shared" si="11"/>
        <v>0</v>
      </c>
      <c r="D182" s="2">
        <f t="shared" si="11"/>
        <v>0</v>
      </c>
      <c r="E182" s="2">
        <f t="shared" si="12"/>
        <v>56.5</v>
      </c>
      <c r="F182" s="2">
        <f t="shared" si="13"/>
        <v>66.5</v>
      </c>
      <c r="G182" s="2">
        <f t="shared" si="14"/>
        <v>-10</v>
      </c>
      <c r="H182" s="2">
        <f t="shared" si="15"/>
        <v>100</v>
      </c>
    </row>
    <row r="183" spans="1:8" x14ac:dyDescent="0.25">
      <c r="A183">
        <v>93.243243243243242</v>
      </c>
      <c r="B183">
        <v>92.957746478873233</v>
      </c>
      <c r="C183" s="2">
        <f t="shared" si="11"/>
        <v>93.243243243243242</v>
      </c>
      <c r="D183" s="2">
        <f t="shared" si="11"/>
        <v>92.957746478873233</v>
      </c>
      <c r="E183" s="2">
        <f t="shared" si="12"/>
        <v>185</v>
      </c>
      <c r="F183" s="2">
        <f t="shared" si="13"/>
        <v>203</v>
      </c>
      <c r="G183" s="2">
        <f t="shared" si="14"/>
        <v>-18</v>
      </c>
      <c r="H183" s="2">
        <f t="shared" si="15"/>
        <v>324</v>
      </c>
    </row>
    <row r="184" spans="1:8" x14ac:dyDescent="0.25">
      <c r="A184">
        <v>0</v>
      </c>
      <c r="B184">
        <v>100</v>
      </c>
      <c r="C184" s="2">
        <f t="shared" si="11"/>
        <v>0</v>
      </c>
      <c r="D184" s="2">
        <f t="shared" si="11"/>
        <v>100</v>
      </c>
      <c r="E184" s="2">
        <f t="shared" si="12"/>
        <v>56.5</v>
      </c>
      <c r="F184" s="2">
        <f t="shared" si="13"/>
        <v>265</v>
      </c>
      <c r="G184" s="2">
        <f t="shared" si="14"/>
        <v>-208.5</v>
      </c>
      <c r="H184" s="2">
        <f t="shared" si="15"/>
        <v>43472.25</v>
      </c>
    </row>
    <row r="185" spans="1:8" x14ac:dyDescent="0.25">
      <c r="A185">
        <v>100</v>
      </c>
      <c r="B185">
        <v>100</v>
      </c>
      <c r="C185" s="2">
        <f t="shared" si="11"/>
        <v>100</v>
      </c>
      <c r="D185" s="2">
        <f t="shared" si="11"/>
        <v>100</v>
      </c>
      <c r="E185" s="2">
        <f t="shared" si="12"/>
        <v>257.5</v>
      </c>
      <c r="F185" s="2">
        <f t="shared" si="13"/>
        <v>265</v>
      </c>
      <c r="G185" s="2">
        <f t="shared" si="14"/>
        <v>-7.5</v>
      </c>
      <c r="H185" s="2">
        <f t="shared" si="15"/>
        <v>56.25</v>
      </c>
    </row>
    <row r="186" spans="1:8" x14ac:dyDescent="0.25">
      <c r="A186">
        <v>75</v>
      </c>
      <c r="B186">
        <v>69.387755102040813</v>
      </c>
      <c r="C186" s="2">
        <f t="shared" si="11"/>
        <v>75</v>
      </c>
      <c r="D186" s="2">
        <f t="shared" si="11"/>
        <v>69.387755102040813</v>
      </c>
      <c r="E186" s="2">
        <f t="shared" si="12"/>
        <v>141</v>
      </c>
      <c r="F186" s="2">
        <f t="shared" si="13"/>
        <v>153</v>
      </c>
      <c r="G186" s="2">
        <f t="shared" si="14"/>
        <v>-12</v>
      </c>
      <c r="H186" s="2">
        <f t="shared" si="15"/>
        <v>144</v>
      </c>
    </row>
    <row r="187" spans="1:8" x14ac:dyDescent="0.25">
      <c r="A187">
        <v>100</v>
      </c>
      <c r="B187">
        <v>100</v>
      </c>
      <c r="C187" s="2">
        <f t="shared" si="11"/>
        <v>100</v>
      </c>
      <c r="D187" s="2">
        <f t="shared" si="11"/>
        <v>100</v>
      </c>
      <c r="E187" s="2">
        <f t="shared" si="12"/>
        <v>257.5</v>
      </c>
      <c r="F187" s="2">
        <f t="shared" si="13"/>
        <v>265</v>
      </c>
      <c r="G187" s="2">
        <f t="shared" si="14"/>
        <v>-7.5</v>
      </c>
      <c r="H187" s="2">
        <f t="shared" si="15"/>
        <v>56.25</v>
      </c>
    </row>
    <row r="188" spans="1:8" x14ac:dyDescent="0.25">
      <c r="A188">
        <v>0</v>
      </c>
      <c r="B188">
        <v>0</v>
      </c>
      <c r="C188" s="2">
        <f t="shared" si="11"/>
        <v>0</v>
      </c>
      <c r="D188" s="2">
        <f t="shared" si="11"/>
        <v>0</v>
      </c>
      <c r="E188" s="2">
        <f t="shared" si="12"/>
        <v>56.5</v>
      </c>
      <c r="F188" s="2">
        <f t="shared" si="13"/>
        <v>66.5</v>
      </c>
      <c r="G188" s="2">
        <f t="shared" si="14"/>
        <v>-10</v>
      </c>
      <c r="H188" s="2">
        <f t="shared" si="15"/>
        <v>100</v>
      </c>
    </row>
    <row r="189" spans="1:8" x14ac:dyDescent="0.25">
      <c r="A189">
        <v>100</v>
      </c>
      <c r="B189">
        <v>100</v>
      </c>
      <c r="C189" s="2">
        <f t="shared" si="11"/>
        <v>100</v>
      </c>
      <c r="D189" s="2">
        <f t="shared" si="11"/>
        <v>100</v>
      </c>
      <c r="E189" s="2">
        <f t="shared" si="12"/>
        <v>257.5</v>
      </c>
      <c r="F189" s="2">
        <f t="shared" si="13"/>
        <v>265</v>
      </c>
      <c r="G189" s="2">
        <f t="shared" si="14"/>
        <v>-7.5</v>
      </c>
      <c r="H189" s="2">
        <f t="shared" si="15"/>
        <v>56.25</v>
      </c>
    </row>
    <row r="190" spans="1:8" x14ac:dyDescent="0.25">
      <c r="A190">
        <v>100</v>
      </c>
      <c r="B190">
        <v>0</v>
      </c>
      <c r="C190" s="2">
        <f t="shared" si="11"/>
        <v>100</v>
      </c>
      <c r="D190" s="2">
        <f t="shared" si="11"/>
        <v>0</v>
      </c>
      <c r="E190" s="2">
        <f t="shared" si="12"/>
        <v>257.5</v>
      </c>
      <c r="F190" s="2">
        <f t="shared" si="13"/>
        <v>66.5</v>
      </c>
      <c r="G190" s="2">
        <f t="shared" si="14"/>
        <v>191</v>
      </c>
      <c r="H190" s="2">
        <f t="shared" si="15"/>
        <v>36481</v>
      </c>
    </row>
    <row r="191" spans="1:8" x14ac:dyDescent="0.25">
      <c r="A191">
        <v>50</v>
      </c>
      <c r="B191">
        <v>0</v>
      </c>
      <c r="C191" s="2">
        <f t="shared" si="11"/>
        <v>50</v>
      </c>
      <c r="D191" s="2">
        <f t="shared" si="11"/>
        <v>0</v>
      </c>
      <c r="E191" s="2">
        <f t="shared" si="12"/>
        <v>124.5</v>
      </c>
      <c r="F191" s="2">
        <f t="shared" si="13"/>
        <v>66.5</v>
      </c>
      <c r="G191" s="2">
        <f t="shared" si="14"/>
        <v>58</v>
      </c>
      <c r="H191" s="2">
        <f t="shared" si="15"/>
        <v>3364</v>
      </c>
    </row>
    <row r="192" spans="1:8" x14ac:dyDescent="0.25">
      <c r="A192">
        <v>18.055555555555554</v>
      </c>
      <c r="B192">
        <v>16.417910447761194</v>
      </c>
      <c r="C192" s="2">
        <f t="shared" si="11"/>
        <v>18.055555555555554</v>
      </c>
      <c r="D192" s="2">
        <f t="shared" si="11"/>
        <v>16.417910447761194</v>
      </c>
      <c r="E192" s="2">
        <f t="shared" si="12"/>
        <v>113</v>
      </c>
      <c r="F192" s="2">
        <f t="shared" si="13"/>
        <v>136</v>
      </c>
      <c r="G192" s="2">
        <f t="shared" si="14"/>
        <v>-23</v>
      </c>
      <c r="H192" s="2">
        <f t="shared" si="15"/>
        <v>529</v>
      </c>
    </row>
    <row r="193" spans="1:8" x14ac:dyDescent="0.25">
      <c r="A193">
        <v>100</v>
      </c>
      <c r="B193">
        <v>0</v>
      </c>
      <c r="C193" s="2">
        <f t="shared" si="11"/>
        <v>100</v>
      </c>
      <c r="D193" s="2">
        <f t="shared" si="11"/>
        <v>0</v>
      </c>
      <c r="E193" s="2">
        <f t="shared" si="12"/>
        <v>257.5</v>
      </c>
      <c r="F193" s="2">
        <f t="shared" si="13"/>
        <v>66.5</v>
      </c>
      <c r="G193" s="2">
        <f t="shared" si="14"/>
        <v>191</v>
      </c>
      <c r="H193" s="2">
        <f t="shared" si="15"/>
        <v>36481</v>
      </c>
    </row>
    <row r="194" spans="1:8" x14ac:dyDescent="0.25">
      <c r="A194">
        <v>100</v>
      </c>
      <c r="B194">
        <v>100</v>
      </c>
      <c r="C194" s="2">
        <f t="shared" si="11"/>
        <v>100</v>
      </c>
      <c r="D194" s="2">
        <f t="shared" si="11"/>
        <v>100</v>
      </c>
      <c r="E194" s="2">
        <f t="shared" si="12"/>
        <v>257.5</v>
      </c>
      <c r="F194" s="2">
        <f t="shared" si="13"/>
        <v>265</v>
      </c>
      <c r="G194" s="2">
        <f t="shared" si="14"/>
        <v>-7.5</v>
      </c>
      <c r="H194" s="2">
        <f t="shared" si="15"/>
        <v>56.25</v>
      </c>
    </row>
    <row r="195" spans="1:8" x14ac:dyDescent="0.25">
      <c r="A195">
        <v>100</v>
      </c>
      <c r="B195">
        <v>95.833333333333343</v>
      </c>
      <c r="C195" s="2">
        <f t="shared" ref="C195:D258" si="16">IF(AND($A195&lt;&gt;"",$B195&lt;&gt;""),A195,"")</f>
        <v>100</v>
      </c>
      <c r="D195" s="2">
        <f t="shared" si="16"/>
        <v>95.833333333333343</v>
      </c>
      <c r="E195" s="2">
        <f t="shared" ref="E195:E258" si="17">IF(C195="","",_xlfn.RANK.AVG(C195,C$2:C$468,1))</f>
        <v>257.5</v>
      </c>
      <c r="F195" s="2">
        <f t="shared" ref="F195:F258" si="18">IF(D195="","",_xlfn.RANK.AVG(D195,D$2:D$468,1))</f>
        <v>218</v>
      </c>
      <c r="G195" s="2">
        <f t="shared" ref="G195:G258" si="19">IF(C195="","",E195-F195)</f>
        <v>39.5</v>
      </c>
      <c r="H195" s="2">
        <f t="shared" ref="H195:H258" si="20">IF(C195="","",G195^2)</f>
        <v>1560.25</v>
      </c>
    </row>
    <row r="196" spans="1:8" x14ac:dyDescent="0.25">
      <c r="A196">
        <v>100</v>
      </c>
      <c r="B196">
        <v>100</v>
      </c>
      <c r="C196" s="2">
        <f t="shared" si="16"/>
        <v>100</v>
      </c>
      <c r="D196" s="2">
        <f t="shared" si="16"/>
        <v>100</v>
      </c>
      <c r="E196" s="2">
        <f t="shared" si="17"/>
        <v>257.5</v>
      </c>
      <c r="F196" s="2">
        <f t="shared" si="18"/>
        <v>265</v>
      </c>
      <c r="G196" s="2">
        <f t="shared" si="19"/>
        <v>-7.5</v>
      </c>
      <c r="H196" s="2">
        <f t="shared" si="20"/>
        <v>56.25</v>
      </c>
    </row>
    <row r="197" spans="1:8" x14ac:dyDescent="0.25">
      <c r="A197">
        <v>0</v>
      </c>
      <c r="B197">
        <v>0</v>
      </c>
      <c r="C197" s="2">
        <f t="shared" si="16"/>
        <v>0</v>
      </c>
      <c r="D197" s="2">
        <f t="shared" si="16"/>
        <v>0</v>
      </c>
      <c r="E197" s="2">
        <f t="shared" si="17"/>
        <v>56.5</v>
      </c>
      <c r="F197" s="2">
        <f t="shared" si="18"/>
        <v>66.5</v>
      </c>
      <c r="G197" s="2">
        <f t="shared" si="19"/>
        <v>-10</v>
      </c>
      <c r="H197" s="2">
        <f t="shared" si="20"/>
        <v>100</v>
      </c>
    </row>
    <row r="198" spans="1:8" x14ac:dyDescent="0.25">
      <c r="A198">
        <v>63.636363636363633</v>
      </c>
      <c r="B198">
        <v>70</v>
      </c>
      <c r="C198" s="2">
        <f t="shared" si="16"/>
        <v>63.636363636363633</v>
      </c>
      <c r="D198" s="2">
        <f t="shared" si="16"/>
        <v>70</v>
      </c>
      <c r="E198" s="2">
        <f t="shared" si="17"/>
        <v>135</v>
      </c>
      <c r="F198" s="2">
        <f t="shared" si="18"/>
        <v>156</v>
      </c>
      <c r="G198" s="2">
        <f t="shared" si="19"/>
        <v>-21</v>
      </c>
      <c r="H198" s="2">
        <f t="shared" si="20"/>
        <v>441</v>
      </c>
    </row>
    <row r="199" spans="1:8" x14ac:dyDescent="0.25">
      <c r="A199">
        <v>94.871794871794862</v>
      </c>
      <c r="B199">
        <v>95.138888888888886</v>
      </c>
      <c r="C199" s="2">
        <f t="shared" si="16"/>
        <v>94.871794871794862</v>
      </c>
      <c r="D199" s="2">
        <f t="shared" si="16"/>
        <v>95.138888888888886</v>
      </c>
      <c r="E199" s="2">
        <f t="shared" si="17"/>
        <v>189</v>
      </c>
      <c r="F199" s="2">
        <f t="shared" si="18"/>
        <v>213</v>
      </c>
      <c r="G199" s="2">
        <f t="shared" si="19"/>
        <v>-24</v>
      </c>
      <c r="H199" s="2">
        <f t="shared" si="20"/>
        <v>576</v>
      </c>
    </row>
    <row r="200" spans="1:8" x14ac:dyDescent="0.25">
      <c r="A200">
        <v>0</v>
      </c>
      <c r="B200">
        <v>100</v>
      </c>
      <c r="C200" s="2">
        <f t="shared" si="16"/>
        <v>0</v>
      </c>
      <c r="D200" s="2">
        <f t="shared" si="16"/>
        <v>100</v>
      </c>
      <c r="E200" s="2">
        <f t="shared" si="17"/>
        <v>56.5</v>
      </c>
      <c r="F200" s="2">
        <f t="shared" si="18"/>
        <v>265</v>
      </c>
      <c r="G200" s="2">
        <f t="shared" si="19"/>
        <v>-208.5</v>
      </c>
      <c r="H200" s="2">
        <f t="shared" si="20"/>
        <v>43472.25</v>
      </c>
    </row>
    <row r="201" spans="1:8" x14ac:dyDescent="0.25">
      <c r="A201">
        <v>100</v>
      </c>
      <c r="B201">
        <v>100</v>
      </c>
      <c r="C201" s="2">
        <f t="shared" si="16"/>
        <v>100</v>
      </c>
      <c r="D201" s="2">
        <f t="shared" si="16"/>
        <v>100</v>
      </c>
      <c r="E201" s="2">
        <f t="shared" si="17"/>
        <v>257.5</v>
      </c>
      <c r="F201" s="2">
        <f t="shared" si="18"/>
        <v>265</v>
      </c>
      <c r="G201" s="2">
        <f t="shared" si="19"/>
        <v>-7.5</v>
      </c>
      <c r="H201" s="2">
        <f t="shared" si="20"/>
        <v>56.25</v>
      </c>
    </row>
    <row r="202" spans="1:8" x14ac:dyDescent="0.25">
      <c r="A202">
        <v>0</v>
      </c>
      <c r="B202">
        <v>0</v>
      </c>
      <c r="C202" s="2">
        <f t="shared" si="16"/>
        <v>0</v>
      </c>
      <c r="D202" s="2">
        <f t="shared" si="16"/>
        <v>0</v>
      </c>
      <c r="E202" s="2">
        <f t="shared" si="17"/>
        <v>56.5</v>
      </c>
      <c r="F202" s="2">
        <f t="shared" si="18"/>
        <v>66.5</v>
      </c>
      <c r="G202" s="2">
        <f t="shared" si="19"/>
        <v>-10</v>
      </c>
      <c r="H202" s="2">
        <f t="shared" si="20"/>
        <v>100</v>
      </c>
    </row>
    <row r="203" spans="1:8" x14ac:dyDescent="0.25">
      <c r="A203">
        <v>0</v>
      </c>
      <c r="B203">
        <v>0</v>
      </c>
      <c r="C203" s="2">
        <f t="shared" si="16"/>
        <v>0</v>
      </c>
      <c r="D203" s="2">
        <f t="shared" si="16"/>
        <v>0</v>
      </c>
      <c r="E203" s="2">
        <f t="shared" si="17"/>
        <v>56.5</v>
      </c>
      <c r="F203" s="2">
        <f t="shared" si="18"/>
        <v>66.5</v>
      </c>
      <c r="G203" s="2">
        <f t="shared" si="19"/>
        <v>-10</v>
      </c>
      <c r="H203" s="2">
        <f t="shared" si="20"/>
        <v>100</v>
      </c>
    </row>
    <row r="204" spans="1:8" x14ac:dyDescent="0.25">
      <c r="A204">
        <v>100</v>
      </c>
      <c r="B204">
        <v>66.666666666666657</v>
      </c>
      <c r="C204" s="2">
        <f t="shared" si="16"/>
        <v>100</v>
      </c>
      <c r="D204" s="2">
        <f t="shared" si="16"/>
        <v>66.666666666666657</v>
      </c>
      <c r="E204" s="2">
        <f t="shared" si="17"/>
        <v>257.5</v>
      </c>
      <c r="F204" s="2">
        <f t="shared" si="18"/>
        <v>151</v>
      </c>
      <c r="G204" s="2">
        <f t="shared" si="19"/>
        <v>106.5</v>
      </c>
      <c r="H204" s="2">
        <f t="shared" si="20"/>
        <v>11342.25</v>
      </c>
    </row>
    <row r="205" spans="1:8" x14ac:dyDescent="0.25">
      <c r="A205">
        <v>0</v>
      </c>
      <c r="B205">
        <v>0</v>
      </c>
      <c r="C205" s="2">
        <f t="shared" si="16"/>
        <v>0</v>
      </c>
      <c r="D205" s="2">
        <f t="shared" si="16"/>
        <v>0</v>
      </c>
      <c r="E205" s="2">
        <f t="shared" si="17"/>
        <v>56.5</v>
      </c>
      <c r="F205" s="2">
        <f t="shared" si="18"/>
        <v>66.5</v>
      </c>
      <c r="G205" s="2">
        <f t="shared" si="19"/>
        <v>-10</v>
      </c>
      <c r="H205" s="2">
        <f t="shared" si="20"/>
        <v>100</v>
      </c>
    </row>
    <row r="206" spans="1:8" x14ac:dyDescent="0.25">
      <c r="A206">
        <v>76.666666666666671</v>
      </c>
      <c r="B206">
        <v>81.428571428571431</v>
      </c>
      <c r="C206" s="2">
        <f t="shared" si="16"/>
        <v>76.666666666666671</v>
      </c>
      <c r="D206" s="2">
        <f t="shared" si="16"/>
        <v>81.428571428571431</v>
      </c>
      <c r="E206" s="2">
        <f t="shared" si="17"/>
        <v>145</v>
      </c>
      <c r="F206" s="2">
        <f t="shared" si="18"/>
        <v>164</v>
      </c>
      <c r="G206" s="2">
        <f t="shared" si="19"/>
        <v>-19</v>
      </c>
      <c r="H206" s="2">
        <f t="shared" si="20"/>
        <v>361</v>
      </c>
    </row>
    <row r="207" spans="1:8" x14ac:dyDescent="0.25">
      <c r="A207">
        <v>100</v>
      </c>
      <c r="B207">
        <v>0</v>
      </c>
      <c r="C207" s="2">
        <f t="shared" si="16"/>
        <v>100</v>
      </c>
      <c r="D207" s="2">
        <f t="shared" si="16"/>
        <v>0</v>
      </c>
      <c r="E207" s="2">
        <f t="shared" si="17"/>
        <v>257.5</v>
      </c>
      <c r="F207" s="2">
        <f t="shared" si="18"/>
        <v>66.5</v>
      </c>
      <c r="G207" s="2">
        <f t="shared" si="19"/>
        <v>191</v>
      </c>
      <c r="H207" s="2">
        <f t="shared" si="20"/>
        <v>36481</v>
      </c>
    </row>
    <row r="208" spans="1:8" x14ac:dyDescent="0.25">
      <c r="A208">
        <v>0</v>
      </c>
      <c r="B208">
        <v>0</v>
      </c>
      <c r="C208" s="2">
        <f t="shared" si="16"/>
        <v>0</v>
      </c>
      <c r="D208" s="2">
        <f t="shared" si="16"/>
        <v>0</v>
      </c>
      <c r="E208" s="2">
        <f t="shared" si="17"/>
        <v>56.5</v>
      </c>
      <c r="F208" s="2">
        <f t="shared" si="18"/>
        <v>66.5</v>
      </c>
      <c r="G208" s="2">
        <f t="shared" si="19"/>
        <v>-10</v>
      </c>
      <c r="H208" s="2">
        <f t="shared" si="20"/>
        <v>100</v>
      </c>
    </row>
    <row r="209" spans="1:8" x14ac:dyDescent="0.25">
      <c r="A209">
        <v>0</v>
      </c>
      <c r="B209">
        <v>0</v>
      </c>
      <c r="C209" s="2">
        <f t="shared" si="16"/>
        <v>0</v>
      </c>
      <c r="D209" s="2">
        <f t="shared" si="16"/>
        <v>0</v>
      </c>
      <c r="E209" s="2">
        <f t="shared" si="17"/>
        <v>56.5</v>
      </c>
      <c r="F209" s="2">
        <f t="shared" si="18"/>
        <v>66.5</v>
      </c>
      <c r="G209" s="2">
        <f t="shared" si="19"/>
        <v>-10</v>
      </c>
      <c r="H209" s="2">
        <f t="shared" si="20"/>
        <v>100</v>
      </c>
    </row>
    <row r="210" spans="1:8" x14ac:dyDescent="0.25">
      <c r="A210">
        <v>0</v>
      </c>
      <c r="B210">
        <v>25</v>
      </c>
      <c r="C210" s="2">
        <f t="shared" si="16"/>
        <v>0</v>
      </c>
      <c r="D210" s="2">
        <f t="shared" si="16"/>
        <v>25</v>
      </c>
      <c r="E210" s="2">
        <f t="shared" si="17"/>
        <v>56.5</v>
      </c>
      <c r="F210" s="2">
        <f t="shared" si="18"/>
        <v>138</v>
      </c>
      <c r="G210" s="2">
        <f t="shared" si="19"/>
        <v>-81.5</v>
      </c>
      <c r="H210" s="2">
        <f t="shared" si="20"/>
        <v>6642.25</v>
      </c>
    </row>
    <row r="211" spans="1:8" x14ac:dyDescent="0.25">
      <c r="A211">
        <v>31.25</v>
      </c>
      <c r="B211">
        <v>19.230769230769234</v>
      </c>
      <c r="C211" s="2">
        <f t="shared" si="16"/>
        <v>31.25</v>
      </c>
      <c r="D211" s="2">
        <f t="shared" si="16"/>
        <v>19.230769230769234</v>
      </c>
      <c r="E211" s="2">
        <f t="shared" si="17"/>
        <v>117.5</v>
      </c>
      <c r="F211" s="2">
        <f t="shared" si="18"/>
        <v>137</v>
      </c>
      <c r="G211" s="2">
        <f t="shared" si="19"/>
        <v>-19.5</v>
      </c>
      <c r="H211" s="2">
        <f t="shared" si="20"/>
        <v>380.25</v>
      </c>
    </row>
    <row r="212" spans="1:8" x14ac:dyDescent="0.25">
      <c r="A212">
        <v>90.476190476190482</v>
      </c>
      <c r="B212">
        <v>0</v>
      </c>
      <c r="C212" s="2">
        <f t="shared" si="16"/>
        <v>90.476190476190482</v>
      </c>
      <c r="D212" s="2">
        <f t="shared" si="16"/>
        <v>0</v>
      </c>
      <c r="E212" s="2">
        <f t="shared" si="17"/>
        <v>171</v>
      </c>
      <c r="F212" s="2">
        <f t="shared" si="18"/>
        <v>66.5</v>
      </c>
      <c r="G212" s="2">
        <f t="shared" si="19"/>
        <v>104.5</v>
      </c>
      <c r="H212" s="2">
        <f t="shared" si="20"/>
        <v>10920.25</v>
      </c>
    </row>
    <row r="213" spans="1:8" x14ac:dyDescent="0.25">
      <c r="A213">
        <v>100</v>
      </c>
      <c r="B213">
        <v>0</v>
      </c>
      <c r="C213" s="2">
        <f t="shared" si="16"/>
        <v>100</v>
      </c>
      <c r="D213" s="2">
        <f t="shared" si="16"/>
        <v>0</v>
      </c>
      <c r="E213" s="2">
        <f t="shared" si="17"/>
        <v>257.5</v>
      </c>
      <c r="F213" s="2">
        <f t="shared" si="18"/>
        <v>66.5</v>
      </c>
      <c r="G213" s="2">
        <f t="shared" si="19"/>
        <v>191</v>
      </c>
      <c r="H213" s="2">
        <f t="shared" si="20"/>
        <v>36481</v>
      </c>
    </row>
    <row r="214" spans="1:8" x14ac:dyDescent="0.25">
      <c r="A214">
        <v>48.65771812080537</v>
      </c>
      <c r="B214">
        <v>32.456140350877192</v>
      </c>
      <c r="C214" s="2">
        <f t="shared" si="16"/>
        <v>48.65771812080537</v>
      </c>
      <c r="D214" s="2">
        <f t="shared" si="16"/>
        <v>32.456140350877192</v>
      </c>
      <c r="E214" s="2">
        <f t="shared" si="17"/>
        <v>122</v>
      </c>
      <c r="F214" s="2">
        <f t="shared" si="18"/>
        <v>141</v>
      </c>
      <c r="G214" s="2">
        <f t="shared" si="19"/>
        <v>-19</v>
      </c>
      <c r="H214" s="2">
        <f t="shared" si="20"/>
        <v>361</v>
      </c>
    </row>
    <row r="215" spans="1:8" x14ac:dyDescent="0.25">
      <c r="A215">
        <v>0</v>
      </c>
      <c r="B215">
        <v>0</v>
      </c>
      <c r="C215" s="2">
        <f t="shared" si="16"/>
        <v>0</v>
      </c>
      <c r="D215" s="2">
        <f t="shared" si="16"/>
        <v>0</v>
      </c>
      <c r="E215" s="2">
        <f t="shared" si="17"/>
        <v>56.5</v>
      </c>
      <c r="F215" s="2">
        <f t="shared" si="18"/>
        <v>66.5</v>
      </c>
      <c r="G215" s="2">
        <f t="shared" si="19"/>
        <v>-10</v>
      </c>
      <c r="H215" s="2">
        <f t="shared" si="20"/>
        <v>100</v>
      </c>
    </row>
    <row r="216" spans="1:8" x14ac:dyDescent="0.25">
      <c r="A216">
        <v>100</v>
      </c>
      <c r="B216">
        <v>0</v>
      </c>
      <c r="C216" s="2">
        <f t="shared" si="16"/>
        <v>100</v>
      </c>
      <c r="D216" s="2">
        <f t="shared" si="16"/>
        <v>0</v>
      </c>
      <c r="E216" s="2">
        <f t="shared" si="17"/>
        <v>257.5</v>
      </c>
      <c r="F216" s="2">
        <f t="shared" si="18"/>
        <v>66.5</v>
      </c>
      <c r="G216" s="2">
        <f t="shared" si="19"/>
        <v>191</v>
      </c>
      <c r="H216" s="2">
        <f t="shared" si="20"/>
        <v>36481</v>
      </c>
    </row>
    <row r="217" spans="1:8" x14ac:dyDescent="0.25">
      <c r="A217">
        <v>0</v>
      </c>
      <c r="B217">
        <v>0</v>
      </c>
      <c r="C217" s="2">
        <f t="shared" si="16"/>
        <v>0</v>
      </c>
      <c r="D217" s="2">
        <f t="shared" si="16"/>
        <v>0</v>
      </c>
      <c r="E217" s="2">
        <f t="shared" si="17"/>
        <v>56.5</v>
      </c>
      <c r="F217" s="2">
        <f t="shared" si="18"/>
        <v>66.5</v>
      </c>
      <c r="G217" s="2">
        <f t="shared" si="19"/>
        <v>-10</v>
      </c>
      <c r="H217" s="2">
        <f t="shared" si="20"/>
        <v>100</v>
      </c>
    </row>
    <row r="218" spans="1:8" x14ac:dyDescent="0.25">
      <c r="A218">
        <v>62.5</v>
      </c>
      <c r="B218">
        <v>0</v>
      </c>
      <c r="C218" s="2">
        <f t="shared" si="16"/>
        <v>62.5</v>
      </c>
      <c r="D218" s="2">
        <f t="shared" si="16"/>
        <v>0</v>
      </c>
      <c r="E218" s="2">
        <f t="shared" si="17"/>
        <v>133.5</v>
      </c>
      <c r="F218" s="2">
        <f t="shared" si="18"/>
        <v>66.5</v>
      </c>
      <c r="G218" s="2">
        <f t="shared" si="19"/>
        <v>67</v>
      </c>
      <c r="H218" s="2">
        <f t="shared" si="20"/>
        <v>4489</v>
      </c>
    </row>
    <row r="219" spans="1:8" x14ac:dyDescent="0.25">
      <c r="A219">
        <v>33.333333333333329</v>
      </c>
      <c r="B219">
        <v>15.231788079470199</v>
      </c>
      <c r="C219" s="2">
        <f t="shared" si="16"/>
        <v>33.333333333333329</v>
      </c>
      <c r="D219" s="2">
        <f t="shared" si="16"/>
        <v>15.231788079470199</v>
      </c>
      <c r="E219" s="2">
        <f t="shared" si="17"/>
        <v>119</v>
      </c>
      <c r="F219" s="2">
        <f t="shared" si="18"/>
        <v>135</v>
      </c>
      <c r="G219" s="2">
        <f t="shared" si="19"/>
        <v>-16</v>
      </c>
      <c r="H219" s="2">
        <f t="shared" si="20"/>
        <v>256</v>
      </c>
    </row>
    <row r="220" spans="1:8" x14ac:dyDescent="0.25">
      <c r="A220">
        <v>0</v>
      </c>
      <c r="B220">
        <v>0</v>
      </c>
      <c r="C220" s="2">
        <f t="shared" si="16"/>
        <v>0</v>
      </c>
      <c r="D220" s="2">
        <f t="shared" si="16"/>
        <v>0</v>
      </c>
      <c r="E220" s="2">
        <f t="shared" si="17"/>
        <v>56.5</v>
      </c>
      <c r="F220" s="2">
        <f t="shared" si="18"/>
        <v>66.5</v>
      </c>
      <c r="G220" s="2">
        <f t="shared" si="19"/>
        <v>-10</v>
      </c>
      <c r="H220" s="2">
        <f t="shared" si="20"/>
        <v>100</v>
      </c>
    </row>
    <row r="221" spans="1:8" x14ac:dyDescent="0.25">
      <c r="A221">
        <v>54.455445544554458</v>
      </c>
      <c r="B221">
        <v>49.333333333333336</v>
      </c>
      <c r="C221" s="2">
        <f t="shared" si="16"/>
        <v>54.455445544554458</v>
      </c>
      <c r="D221" s="2">
        <f t="shared" si="16"/>
        <v>49.333333333333336</v>
      </c>
      <c r="E221" s="2">
        <f t="shared" si="17"/>
        <v>128</v>
      </c>
      <c r="F221" s="2">
        <f t="shared" si="18"/>
        <v>148</v>
      </c>
      <c r="G221" s="2">
        <f t="shared" si="19"/>
        <v>-20</v>
      </c>
      <c r="H221" s="2">
        <f t="shared" si="20"/>
        <v>400</v>
      </c>
    </row>
    <row r="222" spans="1:8" x14ac:dyDescent="0.25">
      <c r="A222">
        <v>75</v>
      </c>
      <c r="B222">
        <v>70.967741935483872</v>
      </c>
      <c r="C222" s="2">
        <f t="shared" si="16"/>
        <v>75</v>
      </c>
      <c r="D222" s="2">
        <f t="shared" si="16"/>
        <v>70.967741935483872</v>
      </c>
      <c r="E222" s="2">
        <f t="shared" si="17"/>
        <v>141</v>
      </c>
      <c r="F222" s="2">
        <f t="shared" si="18"/>
        <v>157</v>
      </c>
      <c r="G222" s="2">
        <f t="shared" si="19"/>
        <v>-16</v>
      </c>
      <c r="H222" s="2">
        <f t="shared" si="20"/>
        <v>256</v>
      </c>
    </row>
    <row r="223" spans="1:8" x14ac:dyDescent="0.25">
      <c r="A223">
        <v>0</v>
      </c>
      <c r="B223">
        <v>0</v>
      </c>
      <c r="C223" s="2">
        <f t="shared" si="16"/>
        <v>0</v>
      </c>
      <c r="D223" s="2">
        <f t="shared" si="16"/>
        <v>0</v>
      </c>
      <c r="E223" s="2">
        <f t="shared" si="17"/>
        <v>56.5</v>
      </c>
      <c r="F223" s="2">
        <f t="shared" si="18"/>
        <v>66.5</v>
      </c>
      <c r="G223" s="2">
        <f t="shared" si="19"/>
        <v>-10</v>
      </c>
      <c r="H223" s="2">
        <f t="shared" si="20"/>
        <v>100</v>
      </c>
    </row>
    <row r="224" spans="1:8" x14ac:dyDescent="0.25">
      <c r="A224">
        <v>100</v>
      </c>
      <c r="B224">
        <v>100</v>
      </c>
      <c r="C224" s="2">
        <f t="shared" si="16"/>
        <v>100</v>
      </c>
      <c r="D224" s="2">
        <f t="shared" si="16"/>
        <v>100</v>
      </c>
      <c r="E224" s="2">
        <f t="shared" si="17"/>
        <v>257.5</v>
      </c>
      <c r="F224" s="2">
        <f t="shared" si="18"/>
        <v>265</v>
      </c>
      <c r="G224" s="2">
        <f t="shared" si="19"/>
        <v>-7.5</v>
      </c>
      <c r="H224" s="2">
        <f t="shared" si="20"/>
        <v>56.25</v>
      </c>
    </row>
    <row r="225" spans="1:8" x14ac:dyDescent="0.25">
      <c r="A225">
        <v>100</v>
      </c>
      <c r="B225">
        <v>100</v>
      </c>
      <c r="C225" s="2">
        <f t="shared" si="16"/>
        <v>100</v>
      </c>
      <c r="D225" s="2">
        <f t="shared" si="16"/>
        <v>100</v>
      </c>
      <c r="E225" s="2">
        <f t="shared" si="17"/>
        <v>257.5</v>
      </c>
      <c r="F225" s="2">
        <f t="shared" si="18"/>
        <v>265</v>
      </c>
      <c r="G225" s="2">
        <f t="shared" si="19"/>
        <v>-7.5</v>
      </c>
      <c r="H225" s="2">
        <f t="shared" si="20"/>
        <v>56.25</v>
      </c>
    </row>
    <row r="226" spans="1:8" x14ac:dyDescent="0.25">
      <c r="A226">
        <v>0</v>
      </c>
      <c r="B226">
        <v>100</v>
      </c>
      <c r="C226" s="2">
        <f t="shared" si="16"/>
        <v>0</v>
      </c>
      <c r="D226" s="2">
        <f t="shared" si="16"/>
        <v>100</v>
      </c>
      <c r="E226" s="2">
        <f t="shared" si="17"/>
        <v>56.5</v>
      </c>
      <c r="F226" s="2">
        <f t="shared" si="18"/>
        <v>265</v>
      </c>
      <c r="G226" s="2">
        <f t="shared" si="19"/>
        <v>-208.5</v>
      </c>
      <c r="H226" s="2">
        <f t="shared" si="20"/>
        <v>43472.25</v>
      </c>
    </row>
    <row r="227" spans="1:8" x14ac:dyDescent="0.25">
      <c r="A227">
        <v>100</v>
      </c>
      <c r="B227">
        <v>100</v>
      </c>
      <c r="C227" s="2">
        <f t="shared" si="16"/>
        <v>100</v>
      </c>
      <c r="D227" s="2">
        <f t="shared" si="16"/>
        <v>100</v>
      </c>
      <c r="E227" s="2">
        <f t="shared" si="17"/>
        <v>257.5</v>
      </c>
      <c r="F227" s="2">
        <f t="shared" si="18"/>
        <v>265</v>
      </c>
      <c r="G227" s="2">
        <f t="shared" si="19"/>
        <v>-7.5</v>
      </c>
      <c r="H227" s="2">
        <f t="shared" si="20"/>
        <v>56.25</v>
      </c>
    </row>
    <row r="228" spans="1:8" x14ac:dyDescent="0.25">
      <c r="A228">
        <v>100</v>
      </c>
      <c r="B228">
        <v>0</v>
      </c>
      <c r="C228" s="2">
        <f t="shared" si="16"/>
        <v>100</v>
      </c>
      <c r="D228" s="2">
        <f t="shared" si="16"/>
        <v>0</v>
      </c>
      <c r="E228" s="2">
        <f t="shared" si="17"/>
        <v>257.5</v>
      </c>
      <c r="F228" s="2">
        <f t="shared" si="18"/>
        <v>66.5</v>
      </c>
      <c r="G228" s="2">
        <f t="shared" si="19"/>
        <v>191</v>
      </c>
      <c r="H228" s="2">
        <f t="shared" si="20"/>
        <v>36481</v>
      </c>
    </row>
    <row r="229" spans="1:8" x14ac:dyDescent="0.25">
      <c r="A229">
        <v>0</v>
      </c>
      <c r="B229">
        <v>0</v>
      </c>
      <c r="C229" s="2">
        <f t="shared" si="16"/>
        <v>0</v>
      </c>
      <c r="D229" s="2">
        <f t="shared" si="16"/>
        <v>0</v>
      </c>
      <c r="E229" s="2">
        <f t="shared" si="17"/>
        <v>56.5</v>
      </c>
      <c r="F229" s="2">
        <f t="shared" si="18"/>
        <v>66.5</v>
      </c>
      <c r="G229" s="2">
        <f t="shared" si="19"/>
        <v>-10</v>
      </c>
      <c r="H229" s="2">
        <f t="shared" si="20"/>
        <v>100</v>
      </c>
    </row>
    <row r="230" spans="1:8" x14ac:dyDescent="0.25">
      <c r="A230">
        <v>100</v>
      </c>
      <c r="B230">
        <v>84.615384615384613</v>
      </c>
      <c r="C230" s="2">
        <f t="shared" si="16"/>
        <v>100</v>
      </c>
      <c r="D230" s="2">
        <f t="shared" si="16"/>
        <v>84.615384615384613</v>
      </c>
      <c r="E230" s="2">
        <f t="shared" si="17"/>
        <v>257.5</v>
      </c>
      <c r="F230" s="2">
        <f t="shared" si="18"/>
        <v>169.5</v>
      </c>
      <c r="G230" s="2">
        <f t="shared" si="19"/>
        <v>88</v>
      </c>
      <c r="H230" s="2">
        <f t="shared" si="20"/>
        <v>7744</v>
      </c>
    </row>
    <row r="231" spans="1:8" x14ac:dyDescent="0.25">
      <c r="A231">
        <v>100</v>
      </c>
      <c r="B231">
        <v>100</v>
      </c>
      <c r="C231" s="2">
        <f t="shared" si="16"/>
        <v>100</v>
      </c>
      <c r="D231" s="2">
        <f t="shared" si="16"/>
        <v>100</v>
      </c>
      <c r="E231" s="2">
        <f t="shared" si="17"/>
        <v>257.5</v>
      </c>
      <c r="F231" s="2">
        <f t="shared" si="18"/>
        <v>265</v>
      </c>
      <c r="G231" s="2">
        <f t="shared" si="19"/>
        <v>-7.5</v>
      </c>
      <c r="H231" s="2">
        <f t="shared" si="20"/>
        <v>56.25</v>
      </c>
    </row>
    <row r="232" spans="1:8" x14ac:dyDescent="0.25">
      <c r="A232">
        <v>0</v>
      </c>
      <c r="B232">
        <v>100</v>
      </c>
      <c r="C232" s="2">
        <f t="shared" si="16"/>
        <v>0</v>
      </c>
      <c r="D232" s="2">
        <f t="shared" si="16"/>
        <v>100</v>
      </c>
      <c r="E232" s="2">
        <f t="shared" si="17"/>
        <v>56.5</v>
      </c>
      <c r="F232" s="2">
        <f t="shared" si="18"/>
        <v>265</v>
      </c>
      <c r="G232" s="2">
        <f t="shared" si="19"/>
        <v>-208.5</v>
      </c>
      <c r="H232" s="2">
        <f t="shared" si="20"/>
        <v>43472.25</v>
      </c>
    </row>
    <row r="233" spans="1:8" x14ac:dyDescent="0.25">
      <c r="A233">
        <v>100</v>
      </c>
      <c r="B233">
        <v>0</v>
      </c>
      <c r="C233" s="2">
        <f t="shared" si="16"/>
        <v>100</v>
      </c>
      <c r="D233" s="2">
        <f t="shared" si="16"/>
        <v>0</v>
      </c>
      <c r="E233" s="2">
        <f t="shared" si="17"/>
        <v>257.5</v>
      </c>
      <c r="F233" s="2">
        <f t="shared" si="18"/>
        <v>66.5</v>
      </c>
      <c r="G233" s="2">
        <f t="shared" si="19"/>
        <v>191</v>
      </c>
      <c r="H233" s="2">
        <f t="shared" si="20"/>
        <v>36481</v>
      </c>
    </row>
    <row r="234" spans="1:8" x14ac:dyDescent="0.25">
      <c r="A234">
        <v>70</v>
      </c>
      <c r="B234">
        <v>66.666666666666657</v>
      </c>
      <c r="C234" s="2">
        <f t="shared" si="16"/>
        <v>70</v>
      </c>
      <c r="D234" s="2">
        <f t="shared" si="16"/>
        <v>66.666666666666657</v>
      </c>
      <c r="E234" s="2">
        <f t="shared" si="17"/>
        <v>136.5</v>
      </c>
      <c r="F234" s="2">
        <f t="shared" si="18"/>
        <v>151</v>
      </c>
      <c r="G234" s="2">
        <f t="shared" si="19"/>
        <v>-14.5</v>
      </c>
      <c r="H234" s="2">
        <f t="shared" si="20"/>
        <v>210.25</v>
      </c>
    </row>
    <row r="235" spans="1:8" x14ac:dyDescent="0.25">
      <c r="A235">
        <v>87.5</v>
      </c>
      <c r="B235">
        <v>84.615384615384613</v>
      </c>
      <c r="C235" s="2">
        <f t="shared" si="16"/>
        <v>87.5</v>
      </c>
      <c r="D235" s="2">
        <f t="shared" si="16"/>
        <v>84.615384615384613</v>
      </c>
      <c r="E235" s="2">
        <f t="shared" si="17"/>
        <v>163.5</v>
      </c>
      <c r="F235" s="2">
        <f t="shared" si="18"/>
        <v>169.5</v>
      </c>
      <c r="G235" s="2">
        <f t="shared" si="19"/>
        <v>-6</v>
      </c>
      <c r="H235" s="2">
        <f t="shared" si="20"/>
        <v>36</v>
      </c>
    </row>
    <row r="236" spans="1:8" x14ac:dyDescent="0.25">
      <c r="A236">
        <v>75</v>
      </c>
      <c r="B236">
        <v>0</v>
      </c>
      <c r="C236" s="2">
        <f t="shared" si="16"/>
        <v>75</v>
      </c>
      <c r="D236" s="2">
        <f t="shared" si="16"/>
        <v>0</v>
      </c>
      <c r="E236" s="2">
        <f t="shared" si="17"/>
        <v>141</v>
      </c>
      <c r="F236" s="2">
        <f t="shared" si="18"/>
        <v>66.5</v>
      </c>
      <c r="G236" s="2">
        <f t="shared" si="19"/>
        <v>74.5</v>
      </c>
      <c r="H236" s="2">
        <f t="shared" si="20"/>
        <v>5550.25</v>
      </c>
    </row>
    <row r="237" spans="1:8" x14ac:dyDescent="0.25">
      <c r="A237">
        <v>0</v>
      </c>
      <c r="B237">
        <v>100</v>
      </c>
      <c r="C237" s="2">
        <f t="shared" si="16"/>
        <v>0</v>
      </c>
      <c r="D237" s="2">
        <f t="shared" si="16"/>
        <v>100</v>
      </c>
      <c r="E237" s="2">
        <f t="shared" si="17"/>
        <v>56.5</v>
      </c>
      <c r="F237" s="2">
        <f t="shared" si="18"/>
        <v>265</v>
      </c>
      <c r="G237" s="2">
        <f t="shared" si="19"/>
        <v>-208.5</v>
      </c>
      <c r="H237" s="2">
        <f t="shared" si="20"/>
        <v>43472.25</v>
      </c>
    </row>
    <row r="238" spans="1:8" x14ac:dyDescent="0.25">
      <c r="A238">
        <v>100</v>
      </c>
      <c r="B238">
        <v>100</v>
      </c>
      <c r="C238" s="2">
        <f t="shared" si="16"/>
        <v>100</v>
      </c>
      <c r="D238" s="2">
        <f t="shared" si="16"/>
        <v>100</v>
      </c>
      <c r="E238" s="2">
        <f t="shared" si="17"/>
        <v>257.5</v>
      </c>
      <c r="F238" s="2">
        <f t="shared" si="18"/>
        <v>265</v>
      </c>
      <c r="G238" s="2">
        <f t="shared" si="19"/>
        <v>-7.5</v>
      </c>
      <c r="H238" s="2">
        <f t="shared" si="20"/>
        <v>56.25</v>
      </c>
    </row>
    <row r="239" spans="1:8" x14ac:dyDescent="0.25">
      <c r="A239">
        <v>100</v>
      </c>
      <c r="B239">
        <v>0</v>
      </c>
      <c r="C239" s="2">
        <f t="shared" si="16"/>
        <v>100</v>
      </c>
      <c r="D239" s="2">
        <f t="shared" si="16"/>
        <v>0</v>
      </c>
      <c r="E239" s="2">
        <f t="shared" si="17"/>
        <v>257.5</v>
      </c>
      <c r="F239" s="2">
        <f t="shared" si="18"/>
        <v>66.5</v>
      </c>
      <c r="G239" s="2">
        <f t="shared" si="19"/>
        <v>191</v>
      </c>
      <c r="H239" s="2">
        <f t="shared" si="20"/>
        <v>36481</v>
      </c>
    </row>
    <row r="240" spans="1:8" x14ac:dyDescent="0.25">
      <c r="A240">
        <v>50</v>
      </c>
      <c r="B240">
        <v>0</v>
      </c>
      <c r="C240" s="2">
        <f t="shared" si="16"/>
        <v>50</v>
      </c>
      <c r="D240" s="2">
        <f t="shared" si="16"/>
        <v>0</v>
      </c>
      <c r="E240" s="2">
        <f t="shared" si="17"/>
        <v>124.5</v>
      </c>
      <c r="F240" s="2">
        <f t="shared" si="18"/>
        <v>66.5</v>
      </c>
      <c r="G240" s="2">
        <f t="shared" si="19"/>
        <v>58</v>
      </c>
      <c r="H240" s="2">
        <f t="shared" si="20"/>
        <v>3364</v>
      </c>
    </row>
    <row r="241" spans="1:8" x14ac:dyDescent="0.25">
      <c r="A241">
        <v>0</v>
      </c>
      <c r="B241">
        <v>0</v>
      </c>
      <c r="C241" s="2">
        <f t="shared" si="16"/>
        <v>0</v>
      </c>
      <c r="D241" s="2">
        <f t="shared" si="16"/>
        <v>0</v>
      </c>
      <c r="E241" s="2">
        <f t="shared" si="17"/>
        <v>56.5</v>
      </c>
      <c r="F241" s="2">
        <f t="shared" si="18"/>
        <v>66.5</v>
      </c>
      <c r="G241" s="2">
        <f t="shared" si="19"/>
        <v>-10</v>
      </c>
      <c r="H241" s="2">
        <f t="shared" si="20"/>
        <v>100</v>
      </c>
    </row>
    <row r="242" spans="1:8" x14ac:dyDescent="0.25">
      <c r="A242">
        <v>0</v>
      </c>
      <c r="B242">
        <v>0</v>
      </c>
      <c r="C242" s="2">
        <f t="shared" si="16"/>
        <v>0</v>
      </c>
      <c r="D242" s="2">
        <f t="shared" si="16"/>
        <v>0</v>
      </c>
      <c r="E242" s="2">
        <f t="shared" si="17"/>
        <v>56.5</v>
      </c>
      <c r="F242" s="2">
        <f t="shared" si="18"/>
        <v>66.5</v>
      </c>
      <c r="G242" s="2">
        <f t="shared" si="19"/>
        <v>-10</v>
      </c>
      <c r="H242" s="2">
        <f t="shared" si="20"/>
        <v>100</v>
      </c>
    </row>
    <row r="243" spans="1:8" x14ac:dyDescent="0.25">
      <c r="A243">
        <v>0</v>
      </c>
      <c r="B243">
        <v>0</v>
      </c>
      <c r="C243" s="2">
        <f t="shared" si="16"/>
        <v>0</v>
      </c>
      <c r="D243" s="2">
        <f t="shared" si="16"/>
        <v>0</v>
      </c>
      <c r="E243" s="2">
        <f t="shared" si="17"/>
        <v>56.5</v>
      </c>
      <c r="F243" s="2">
        <f t="shared" si="18"/>
        <v>66.5</v>
      </c>
      <c r="G243" s="2">
        <f t="shared" si="19"/>
        <v>-10</v>
      </c>
      <c r="H243" s="2">
        <f t="shared" si="20"/>
        <v>100</v>
      </c>
    </row>
    <row r="244" spans="1:8" x14ac:dyDescent="0.25">
      <c r="A244">
        <v>0</v>
      </c>
      <c r="B244">
        <v>100</v>
      </c>
      <c r="C244" s="2">
        <f t="shared" si="16"/>
        <v>0</v>
      </c>
      <c r="D244" s="2">
        <f t="shared" si="16"/>
        <v>100</v>
      </c>
      <c r="E244" s="2">
        <f t="shared" si="17"/>
        <v>56.5</v>
      </c>
      <c r="F244" s="2">
        <f t="shared" si="18"/>
        <v>265</v>
      </c>
      <c r="G244" s="2">
        <f t="shared" si="19"/>
        <v>-208.5</v>
      </c>
      <c r="H244" s="2">
        <f t="shared" si="20"/>
        <v>43472.25</v>
      </c>
    </row>
    <row r="245" spans="1:8" x14ac:dyDescent="0.25">
      <c r="A245">
        <v>0</v>
      </c>
      <c r="B245">
        <v>100</v>
      </c>
      <c r="C245" s="2">
        <f t="shared" si="16"/>
        <v>0</v>
      </c>
      <c r="D245" s="2">
        <f t="shared" si="16"/>
        <v>100</v>
      </c>
      <c r="E245" s="2">
        <f t="shared" si="17"/>
        <v>56.5</v>
      </c>
      <c r="F245" s="2">
        <f t="shared" si="18"/>
        <v>265</v>
      </c>
      <c r="G245" s="2">
        <f t="shared" si="19"/>
        <v>-208.5</v>
      </c>
      <c r="H245" s="2">
        <f t="shared" si="20"/>
        <v>43472.25</v>
      </c>
    </row>
    <row r="246" spans="1:8" x14ac:dyDescent="0.25">
      <c r="A246">
        <v>0</v>
      </c>
      <c r="B246">
        <v>100</v>
      </c>
      <c r="C246" s="2">
        <f t="shared" si="16"/>
        <v>0</v>
      </c>
      <c r="D246" s="2">
        <f t="shared" si="16"/>
        <v>100</v>
      </c>
      <c r="E246" s="2">
        <f t="shared" si="17"/>
        <v>56.5</v>
      </c>
      <c r="F246" s="2">
        <f t="shared" si="18"/>
        <v>265</v>
      </c>
      <c r="G246" s="2">
        <f t="shared" si="19"/>
        <v>-208.5</v>
      </c>
      <c r="H246" s="2">
        <f t="shared" si="20"/>
        <v>43472.25</v>
      </c>
    </row>
    <row r="247" spans="1:8" x14ac:dyDescent="0.25">
      <c r="A247">
        <v>100</v>
      </c>
      <c r="B247">
        <v>90</v>
      </c>
      <c r="C247" s="2">
        <f t="shared" si="16"/>
        <v>100</v>
      </c>
      <c r="D247" s="2">
        <f t="shared" si="16"/>
        <v>90</v>
      </c>
      <c r="E247" s="2">
        <f t="shared" si="17"/>
        <v>257.5</v>
      </c>
      <c r="F247" s="2">
        <f t="shared" si="18"/>
        <v>190.5</v>
      </c>
      <c r="G247" s="2">
        <f t="shared" si="19"/>
        <v>67</v>
      </c>
      <c r="H247" s="2">
        <f t="shared" si="20"/>
        <v>4489</v>
      </c>
    </row>
    <row r="248" spans="1:8" x14ac:dyDescent="0.25">
      <c r="A248">
        <v>100</v>
      </c>
      <c r="B248">
        <v>84.210526315789465</v>
      </c>
      <c r="C248" s="2">
        <f t="shared" si="16"/>
        <v>100</v>
      </c>
      <c r="D248" s="2">
        <f t="shared" si="16"/>
        <v>84.210526315789465</v>
      </c>
      <c r="E248" s="2">
        <f t="shared" si="17"/>
        <v>257.5</v>
      </c>
      <c r="F248" s="2">
        <f t="shared" si="18"/>
        <v>168</v>
      </c>
      <c r="G248" s="2">
        <f t="shared" si="19"/>
        <v>89.5</v>
      </c>
      <c r="H248" s="2">
        <f t="shared" si="20"/>
        <v>8010.25</v>
      </c>
    </row>
    <row r="249" spans="1:8" x14ac:dyDescent="0.25">
      <c r="A249">
        <v>94.318181818181827</v>
      </c>
      <c r="B249">
        <v>81.875</v>
      </c>
      <c r="C249" s="2">
        <f t="shared" si="16"/>
        <v>94.318181818181827</v>
      </c>
      <c r="D249" s="2">
        <f t="shared" si="16"/>
        <v>81.875</v>
      </c>
      <c r="E249" s="2">
        <f t="shared" si="17"/>
        <v>187</v>
      </c>
      <c r="F249" s="2">
        <f t="shared" si="18"/>
        <v>165</v>
      </c>
      <c r="G249" s="2">
        <f t="shared" si="19"/>
        <v>22</v>
      </c>
      <c r="H249" s="2">
        <f t="shared" si="20"/>
        <v>484</v>
      </c>
    </row>
    <row r="250" spans="1:8" x14ac:dyDescent="0.25">
      <c r="A250">
        <v>93.181818181818173</v>
      </c>
      <c r="B250">
        <v>96</v>
      </c>
      <c r="C250" s="2">
        <f t="shared" si="16"/>
        <v>93.181818181818173</v>
      </c>
      <c r="D250" s="2">
        <f t="shared" si="16"/>
        <v>96</v>
      </c>
      <c r="E250" s="2">
        <f t="shared" si="17"/>
        <v>184</v>
      </c>
      <c r="F250" s="2">
        <f t="shared" si="18"/>
        <v>219</v>
      </c>
      <c r="G250" s="2">
        <f t="shared" si="19"/>
        <v>-35</v>
      </c>
      <c r="H250" s="2">
        <f t="shared" si="20"/>
        <v>1225</v>
      </c>
    </row>
    <row r="251" spans="1:8" x14ac:dyDescent="0.25">
      <c r="A251">
        <v>0</v>
      </c>
      <c r="B251">
        <v>0</v>
      </c>
      <c r="C251" s="2">
        <f t="shared" si="16"/>
        <v>0</v>
      </c>
      <c r="D251" s="2">
        <f t="shared" si="16"/>
        <v>0</v>
      </c>
      <c r="E251" s="2">
        <f t="shared" si="17"/>
        <v>56.5</v>
      </c>
      <c r="F251" s="2">
        <f t="shared" si="18"/>
        <v>66.5</v>
      </c>
      <c r="G251" s="2">
        <f t="shared" si="19"/>
        <v>-10</v>
      </c>
      <c r="H251" s="2">
        <f t="shared" si="20"/>
        <v>100</v>
      </c>
    </row>
    <row r="252" spans="1:8" x14ac:dyDescent="0.25">
      <c r="A252">
        <v>0</v>
      </c>
      <c r="B252">
        <v>100</v>
      </c>
      <c r="C252" s="2">
        <f t="shared" si="16"/>
        <v>0</v>
      </c>
      <c r="D252" s="2">
        <f t="shared" si="16"/>
        <v>100</v>
      </c>
      <c r="E252" s="2">
        <f t="shared" si="17"/>
        <v>56.5</v>
      </c>
      <c r="F252" s="2">
        <f t="shared" si="18"/>
        <v>265</v>
      </c>
      <c r="G252" s="2">
        <f t="shared" si="19"/>
        <v>-208.5</v>
      </c>
      <c r="H252" s="2">
        <f t="shared" si="20"/>
        <v>43472.25</v>
      </c>
    </row>
    <row r="253" spans="1:8" x14ac:dyDescent="0.25">
      <c r="A253">
        <v>100</v>
      </c>
      <c r="B253">
        <v>95.774647887323937</v>
      </c>
      <c r="C253" s="2">
        <f t="shared" si="16"/>
        <v>100</v>
      </c>
      <c r="D253" s="2">
        <f t="shared" si="16"/>
        <v>95.774647887323937</v>
      </c>
      <c r="E253" s="2">
        <f t="shared" si="17"/>
        <v>257.5</v>
      </c>
      <c r="F253" s="2">
        <f t="shared" si="18"/>
        <v>217</v>
      </c>
      <c r="G253" s="2">
        <f t="shared" si="19"/>
        <v>40.5</v>
      </c>
      <c r="H253" s="2">
        <f t="shared" si="20"/>
        <v>1640.25</v>
      </c>
    </row>
    <row r="254" spans="1:8" x14ac:dyDescent="0.25">
      <c r="A254">
        <v>95</v>
      </c>
      <c r="B254">
        <v>100</v>
      </c>
      <c r="C254" s="2">
        <f t="shared" si="16"/>
        <v>95</v>
      </c>
      <c r="D254" s="2">
        <f t="shared" si="16"/>
        <v>100</v>
      </c>
      <c r="E254" s="2">
        <f t="shared" si="17"/>
        <v>192</v>
      </c>
      <c r="F254" s="2">
        <f t="shared" si="18"/>
        <v>265</v>
      </c>
      <c r="G254" s="2">
        <f t="shared" si="19"/>
        <v>-73</v>
      </c>
      <c r="H254" s="2">
        <f t="shared" si="20"/>
        <v>5329</v>
      </c>
    </row>
    <row r="255" spans="1:8" x14ac:dyDescent="0.25">
      <c r="A255">
        <v>100</v>
      </c>
      <c r="B255">
        <v>88.235294117647058</v>
      </c>
      <c r="C255" s="2">
        <f t="shared" si="16"/>
        <v>100</v>
      </c>
      <c r="D255" s="2">
        <f t="shared" si="16"/>
        <v>88.235294117647058</v>
      </c>
      <c r="E255" s="2">
        <f t="shared" si="17"/>
        <v>257.5</v>
      </c>
      <c r="F255" s="2">
        <f t="shared" si="18"/>
        <v>183.5</v>
      </c>
      <c r="G255" s="2">
        <f t="shared" si="19"/>
        <v>74</v>
      </c>
      <c r="H255" s="2">
        <f t="shared" si="20"/>
        <v>5476</v>
      </c>
    </row>
    <row r="256" spans="1:8" x14ac:dyDescent="0.25">
      <c r="A256">
        <v>97.727272727272734</v>
      </c>
      <c r="B256">
        <v>97.674418604651152</v>
      </c>
      <c r="C256" s="2">
        <f t="shared" si="16"/>
        <v>97.727272727272734</v>
      </c>
      <c r="D256" s="2">
        <f t="shared" si="16"/>
        <v>97.674418604651152</v>
      </c>
      <c r="E256" s="2">
        <f t="shared" si="17"/>
        <v>206</v>
      </c>
      <c r="F256" s="2">
        <f t="shared" si="18"/>
        <v>224</v>
      </c>
      <c r="G256" s="2">
        <f t="shared" si="19"/>
        <v>-18</v>
      </c>
      <c r="H256" s="2">
        <f t="shared" si="20"/>
        <v>324</v>
      </c>
    </row>
    <row r="257" spans="1:8" x14ac:dyDescent="0.25">
      <c r="A257">
        <v>92.857142857142861</v>
      </c>
      <c r="B257">
        <v>95.744680851063833</v>
      </c>
      <c r="C257" s="2">
        <f t="shared" si="16"/>
        <v>92.857142857142861</v>
      </c>
      <c r="D257" s="2">
        <f t="shared" si="16"/>
        <v>95.744680851063833</v>
      </c>
      <c r="E257" s="2">
        <f t="shared" si="17"/>
        <v>181</v>
      </c>
      <c r="F257" s="2">
        <f t="shared" si="18"/>
        <v>215.5</v>
      </c>
      <c r="G257" s="2">
        <f t="shared" si="19"/>
        <v>-34.5</v>
      </c>
      <c r="H257" s="2">
        <f t="shared" si="20"/>
        <v>1190.25</v>
      </c>
    </row>
    <row r="258" spans="1:8" x14ac:dyDescent="0.25">
      <c r="A258">
        <v>0</v>
      </c>
      <c r="B258">
        <v>0</v>
      </c>
      <c r="C258" s="2">
        <f t="shared" si="16"/>
        <v>0</v>
      </c>
      <c r="D258" s="2">
        <f t="shared" si="16"/>
        <v>0</v>
      </c>
      <c r="E258" s="2">
        <f t="shared" si="17"/>
        <v>56.5</v>
      </c>
      <c r="F258" s="2">
        <f t="shared" si="18"/>
        <v>66.5</v>
      </c>
      <c r="G258" s="2">
        <f t="shared" si="19"/>
        <v>-10</v>
      </c>
      <c r="H258" s="2">
        <f t="shared" si="20"/>
        <v>100</v>
      </c>
    </row>
    <row r="259" spans="1:8" x14ac:dyDescent="0.25">
      <c r="A259">
        <v>94.642857142857139</v>
      </c>
      <c r="B259">
        <v>0</v>
      </c>
      <c r="C259" s="2">
        <f t="shared" ref="C259:D307" si="21">IF(AND($A259&lt;&gt;"",$B259&lt;&gt;""),A259,"")</f>
        <v>94.642857142857139</v>
      </c>
      <c r="D259" s="2">
        <f t="shared" si="21"/>
        <v>0</v>
      </c>
      <c r="E259" s="2">
        <f t="shared" ref="E259:E322" si="22">IF(C259="","",_xlfn.RANK.AVG(C259,C$2:C$468,1))</f>
        <v>188</v>
      </c>
      <c r="F259" s="2">
        <f t="shared" ref="F259:F322" si="23">IF(D259="","",_xlfn.RANK.AVG(D259,D$2:D$468,1))</f>
        <v>66.5</v>
      </c>
      <c r="G259" s="2">
        <f t="shared" ref="G259:G322" si="24">IF(C259="","",E259-F259)</f>
        <v>121.5</v>
      </c>
      <c r="H259" s="2">
        <f t="shared" ref="H259:H322" si="25">IF(C259="","",G259^2)</f>
        <v>14762.25</v>
      </c>
    </row>
    <row r="260" spans="1:8" x14ac:dyDescent="0.25">
      <c r="A260">
        <v>100</v>
      </c>
      <c r="B260">
        <v>93.333333333333329</v>
      </c>
      <c r="C260" s="2">
        <f t="shared" si="21"/>
        <v>100</v>
      </c>
      <c r="D260" s="2">
        <f t="shared" si="21"/>
        <v>93.333333333333329</v>
      </c>
      <c r="E260" s="2">
        <f t="shared" si="22"/>
        <v>257.5</v>
      </c>
      <c r="F260" s="2">
        <f t="shared" si="23"/>
        <v>205.5</v>
      </c>
      <c r="G260" s="2">
        <f t="shared" si="24"/>
        <v>52</v>
      </c>
      <c r="H260" s="2">
        <f t="shared" si="25"/>
        <v>2704</v>
      </c>
    </row>
    <row r="261" spans="1:8" x14ac:dyDescent="0.25">
      <c r="A261">
        <v>0</v>
      </c>
      <c r="B261">
        <v>0</v>
      </c>
      <c r="C261" s="2">
        <f t="shared" si="21"/>
        <v>0</v>
      </c>
      <c r="D261" s="2">
        <f t="shared" si="21"/>
        <v>0</v>
      </c>
      <c r="E261" s="2">
        <f t="shared" si="22"/>
        <v>56.5</v>
      </c>
      <c r="F261" s="2">
        <f t="shared" si="23"/>
        <v>66.5</v>
      </c>
      <c r="G261" s="2">
        <f t="shared" si="24"/>
        <v>-10</v>
      </c>
      <c r="H261" s="2">
        <f t="shared" si="25"/>
        <v>100</v>
      </c>
    </row>
    <row r="262" spans="1:8" x14ac:dyDescent="0.25">
      <c r="A262">
        <v>0</v>
      </c>
      <c r="B262">
        <v>0</v>
      </c>
      <c r="C262" s="2">
        <f t="shared" si="21"/>
        <v>0</v>
      </c>
      <c r="D262" s="2">
        <f t="shared" si="21"/>
        <v>0</v>
      </c>
      <c r="E262" s="2">
        <f t="shared" si="22"/>
        <v>56.5</v>
      </c>
      <c r="F262" s="2">
        <f t="shared" si="23"/>
        <v>66.5</v>
      </c>
      <c r="G262" s="2">
        <f t="shared" si="24"/>
        <v>-10</v>
      </c>
      <c r="H262" s="2">
        <f t="shared" si="25"/>
        <v>100</v>
      </c>
    </row>
    <row r="263" spans="1:8" x14ac:dyDescent="0.25">
      <c r="A263">
        <v>0</v>
      </c>
      <c r="B263">
        <v>40</v>
      </c>
      <c r="C263" s="2">
        <f t="shared" si="21"/>
        <v>0</v>
      </c>
      <c r="D263" s="2">
        <f t="shared" si="21"/>
        <v>40</v>
      </c>
      <c r="E263" s="2">
        <f t="shared" si="22"/>
        <v>56.5</v>
      </c>
      <c r="F263" s="2">
        <f t="shared" si="23"/>
        <v>144.5</v>
      </c>
      <c r="G263" s="2">
        <f t="shared" si="24"/>
        <v>-88</v>
      </c>
      <c r="H263" s="2">
        <f t="shared" si="25"/>
        <v>7744</v>
      </c>
    </row>
    <row r="264" spans="1:8" x14ac:dyDescent="0.25">
      <c r="A264">
        <v>100</v>
      </c>
      <c r="B264">
        <v>0</v>
      </c>
      <c r="C264" s="2">
        <f t="shared" si="21"/>
        <v>100</v>
      </c>
      <c r="D264" s="2">
        <f t="shared" si="21"/>
        <v>0</v>
      </c>
      <c r="E264" s="2">
        <f t="shared" si="22"/>
        <v>257.5</v>
      </c>
      <c r="F264" s="2">
        <f t="shared" si="23"/>
        <v>66.5</v>
      </c>
      <c r="G264" s="2">
        <f t="shared" si="24"/>
        <v>191</v>
      </c>
      <c r="H264" s="2">
        <f t="shared" si="25"/>
        <v>36481</v>
      </c>
    </row>
    <row r="265" spans="1:8" x14ac:dyDescent="0.25">
      <c r="A265">
        <v>0</v>
      </c>
      <c r="B265">
        <v>100</v>
      </c>
      <c r="C265" s="2">
        <f t="shared" si="21"/>
        <v>0</v>
      </c>
      <c r="D265" s="2">
        <f t="shared" si="21"/>
        <v>100</v>
      </c>
      <c r="E265" s="2">
        <f t="shared" si="22"/>
        <v>56.5</v>
      </c>
      <c r="F265" s="2">
        <f t="shared" si="23"/>
        <v>265</v>
      </c>
      <c r="G265" s="2">
        <f t="shared" si="24"/>
        <v>-208.5</v>
      </c>
      <c r="H265" s="2">
        <f t="shared" si="25"/>
        <v>43472.25</v>
      </c>
    </row>
    <row r="266" spans="1:8" x14ac:dyDescent="0.25">
      <c r="A266">
        <v>100</v>
      </c>
      <c r="B266">
        <v>0</v>
      </c>
      <c r="C266" s="2">
        <f t="shared" si="21"/>
        <v>100</v>
      </c>
      <c r="D266" s="2">
        <f t="shared" si="21"/>
        <v>0</v>
      </c>
      <c r="E266" s="2">
        <f t="shared" si="22"/>
        <v>257.5</v>
      </c>
      <c r="F266" s="2">
        <f t="shared" si="23"/>
        <v>66.5</v>
      </c>
      <c r="G266" s="2">
        <f t="shared" si="24"/>
        <v>191</v>
      </c>
      <c r="H266" s="2">
        <f t="shared" si="25"/>
        <v>36481</v>
      </c>
    </row>
    <row r="267" spans="1:8" x14ac:dyDescent="0.25">
      <c r="A267">
        <v>92.553191489361694</v>
      </c>
      <c r="B267">
        <v>93.589743589743591</v>
      </c>
      <c r="C267" s="2">
        <f t="shared" si="21"/>
        <v>92.553191489361694</v>
      </c>
      <c r="D267" s="2">
        <f t="shared" si="21"/>
        <v>93.589743589743591</v>
      </c>
      <c r="E267" s="2">
        <f t="shared" si="22"/>
        <v>178</v>
      </c>
      <c r="F267" s="2">
        <f t="shared" si="23"/>
        <v>207</v>
      </c>
      <c r="G267" s="2">
        <f t="shared" si="24"/>
        <v>-29</v>
      </c>
      <c r="H267" s="2">
        <f t="shared" si="25"/>
        <v>841</v>
      </c>
    </row>
    <row r="268" spans="1:8" x14ac:dyDescent="0.25">
      <c r="A268">
        <v>0</v>
      </c>
      <c r="B268">
        <v>0</v>
      </c>
      <c r="C268" s="2">
        <f t="shared" si="21"/>
        <v>0</v>
      </c>
      <c r="D268" s="2">
        <f t="shared" si="21"/>
        <v>0</v>
      </c>
      <c r="E268" s="2">
        <f t="shared" si="22"/>
        <v>56.5</v>
      </c>
      <c r="F268" s="2">
        <f t="shared" si="23"/>
        <v>66.5</v>
      </c>
      <c r="G268" s="2">
        <f t="shared" si="24"/>
        <v>-10</v>
      </c>
      <c r="H268" s="2">
        <f t="shared" si="25"/>
        <v>100</v>
      </c>
    </row>
    <row r="269" spans="1:8" x14ac:dyDescent="0.25">
      <c r="A269">
        <v>80</v>
      </c>
      <c r="B269">
        <v>100</v>
      </c>
      <c r="C269" s="2">
        <f t="shared" si="21"/>
        <v>80</v>
      </c>
      <c r="D269" s="2">
        <f t="shared" si="21"/>
        <v>100</v>
      </c>
      <c r="E269" s="2">
        <f t="shared" si="22"/>
        <v>149.5</v>
      </c>
      <c r="F269" s="2">
        <f t="shared" si="23"/>
        <v>265</v>
      </c>
      <c r="G269" s="2">
        <f t="shared" si="24"/>
        <v>-115.5</v>
      </c>
      <c r="H269" s="2">
        <f t="shared" si="25"/>
        <v>13340.25</v>
      </c>
    </row>
    <row r="270" spans="1:8" x14ac:dyDescent="0.25">
      <c r="A270">
        <v>100</v>
      </c>
      <c r="B270">
        <v>0</v>
      </c>
      <c r="C270" s="2">
        <f t="shared" si="21"/>
        <v>100</v>
      </c>
      <c r="D270" s="2">
        <f t="shared" si="21"/>
        <v>0</v>
      </c>
      <c r="E270" s="2">
        <f t="shared" si="22"/>
        <v>257.5</v>
      </c>
      <c r="F270" s="2">
        <f t="shared" si="23"/>
        <v>66.5</v>
      </c>
      <c r="G270" s="2">
        <f t="shared" si="24"/>
        <v>191</v>
      </c>
      <c r="H270" s="2">
        <f t="shared" si="25"/>
        <v>36481</v>
      </c>
    </row>
    <row r="271" spans="1:8" x14ac:dyDescent="0.25">
      <c r="A271">
        <v>100</v>
      </c>
      <c r="B271">
        <v>0</v>
      </c>
      <c r="C271" s="2">
        <f t="shared" si="21"/>
        <v>100</v>
      </c>
      <c r="D271" s="2">
        <f t="shared" si="21"/>
        <v>0</v>
      </c>
      <c r="E271" s="2">
        <f t="shared" si="22"/>
        <v>257.5</v>
      </c>
      <c r="F271" s="2">
        <f t="shared" si="23"/>
        <v>66.5</v>
      </c>
      <c r="G271" s="2">
        <f t="shared" si="24"/>
        <v>191</v>
      </c>
      <c r="H271" s="2">
        <f t="shared" si="25"/>
        <v>36481</v>
      </c>
    </row>
    <row r="272" spans="1:8" x14ac:dyDescent="0.25">
      <c r="A272">
        <v>100</v>
      </c>
      <c r="B272">
        <v>0</v>
      </c>
      <c r="C272" s="2">
        <f t="shared" si="21"/>
        <v>100</v>
      </c>
      <c r="D272" s="2">
        <f t="shared" si="21"/>
        <v>0</v>
      </c>
      <c r="E272" s="2">
        <f t="shared" si="22"/>
        <v>257.5</v>
      </c>
      <c r="F272" s="2">
        <f t="shared" si="23"/>
        <v>66.5</v>
      </c>
      <c r="G272" s="2">
        <f t="shared" si="24"/>
        <v>191</v>
      </c>
      <c r="H272" s="2">
        <f t="shared" si="25"/>
        <v>36481</v>
      </c>
    </row>
    <row r="273" spans="1:8" x14ac:dyDescent="0.25">
      <c r="A273">
        <v>0</v>
      </c>
      <c r="B273">
        <v>0</v>
      </c>
      <c r="C273" s="2">
        <f t="shared" si="21"/>
        <v>0</v>
      </c>
      <c r="D273" s="2">
        <f t="shared" si="21"/>
        <v>0</v>
      </c>
      <c r="E273" s="2">
        <f t="shared" si="22"/>
        <v>56.5</v>
      </c>
      <c r="F273" s="2">
        <f t="shared" si="23"/>
        <v>66.5</v>
      </c>
      <c r="G273" s="2">
        <f t="shared" si="24"/>
        <v>-10</v>
      </c>
      <c r="H273" s="2">
        <f t="shared" si="25"/>
        <v>100</v>
      </c>
    </row>
    <row r="274" spans="1:8" x14ac:dyDescent="0.25">
      <c r="A274">
        <v>100</v>
      </c>
      <c r="B274">
        <v>0</v>
      </c>
      <c r="C274" s="2">
        <f t="shared" si="21"/>
        <v>100</v>
      </c>
      <c r="D274" s="2">
        <f t="shared" si="21"/>
        <v>0</v>
      </c>
      <c r="E274" s="2">
        <f t="shared" si="22"/>
        <v>257.5</v>
      </c>
      <c r="F274" s="2">
        <f t="shared" si="23"/>
        <v>66.5</v>
      </c>
      <c r="G274" s="2">
        <f t="shared" si="24"/>
        <v>191</v>
      </c>
      <c r="H274" s="2">
        <f t="shared" si="25"/>
        <v>36481</v>
      </c>
    </row>
    <row r="275" spans="1:8" x14ac:dyDescent="0.25">
      <c r="A275">
        <v>100</v>
      </c>
      <c r="B275">
        <v>0</v>
      </c>
      <c r="C275" s="2">
        <f t="shared" si="21"/>
        <v>100</v>
      </c>
      <c r="D275" s="2">
        <f t="shared" si="21"/>
        <v>0</v>
      </c>
      <c r="E275" s="2">
        <f t="shared" si="22"/>
        <v>257.5</v>
      </c>
      <c r="F275" s="2">
        <f t="shared" si="23"/>
        <v>66.5</v>
      </c>
      <c r="G275" s="2">
        <f t="shared" si="24"/>
        <v>191</v>
      </c>
      <c r="H275" s="2">
        <f t="shared" si="25"/>
        <v>36481</v>
      </c>
    </row>
    <row r="276" spans="1:8" x14ac:dyDescent="0.25">
      <c r="A276">
        <v>0</v>
      </c>
      <c r="B276">
        <v>0</v>
      </c>
      <c r="C276" s="2">
        <f t="shared" si="21"/>
        <v>0</v>
      </c>
      <c r="D276" s="2">
        <f t="shared" si="21"/>
        <v>0</v>
      </c>
      <c r="E276" s="2">
        <f t="shared" si="22"/>
        <v>56.5</v>
      </c>
      <c r="F276" s="2">
        <f t="shared" si="23"/>
        <v>66.5</v>
      </c>
      <c r="G276" s="2">
        <f t="shared" si="24"/>
        <v>-10</v>
      </c>
      <c r="H276" s="2">
        <f t="shared" si="25"/>
        <v>100</v>
      </c>
    </row>
    <row r="277" spans="1:8" x14ac:dyDescent="0.25">
      <c r="A277">
        <v>100</v>
      </c>
      <c r="B277">
        <v>0</v>
      </c>
      <c r="C277" s="2">
        <f t="shared" si="21"/>
        <v>100</v>
      </c>
      <c r="D277" s="2">
        <f t="shared" si="21"/>
        <v>0</v>
      </c>
      <c r="E277" s="2">
        <f t="shared" si="22"/>
        <v>257.5</v>
      </c>
      <c r="F277" s="2">
        <f t="shared" si="23"/>
        <v>66.5</v>
      </c>
      <c r="G277" s="2">
        <f t="shared" si="24"/>
        <v>191</v>
      </c>
      <c r="H277" s="2">
        <f t="shared" si="25"/>
        <v>36481</v>
      </c>
    </row>
    <row r="278" spans="1:8" x14ac:dyDescent="0.25">
      <c r="A278">
        <v>0</v>
      </c>
      <c r="B278">
        <v>0</v>
      </c>
      <c r="C278" s="2">
        <f t="shared" si="21"/>
        <v>0</v>
      </c>
      <c r="D278" s="2">
        <f t="shared" si="21"/>
        <v>0</v>
      </c>
      <c r="E278" s="2">
        <f t="shared" si="22"/>
        <v>56.5</v>
      </c>
      <c r="F278" s="2">
        <f t="shared" si="23"/>
        <v>66.5</v>
      </c>
      <c r="G278" s="2">
        <f t="shared" si="24"/>
        <v>-10</v>
      </c>
      <c r="H278" s="2">
        <f t="shared" si="25"/>
        <v>100</v>
      </c>
    </row>
    <row r="279" spans="1:8" x14ac:dyDescent="0.25">
      <c r="A279">
        <v>0</v>
      </c>
      <c r="B279">
        <v>100</v>
      </c>
      <c r="C279" s="2">
        <f t="shared" si="21"/>
        <v>0</v>
      </c>
      <c r="D279" s="2">
        <f t="shared" si="21"/>
        <v>100</v>
      </c>
      <c r="E279" s="2">
        <f t="shared" si="22"/>
        <v>56.5</v>
      </c>
      <c r="F279" s="2">
        <f t="shared" si="23"/>
        <v>265</v>
      </c>
      <c r="G279" s="2">
        <f t="shared" si="24"/>
        <v>-208.5</v>
      </c>
      <c r="H279" s="2">
        <f t="shared" si="25"/>
        <v>43472.25</v>
      </c>
    </row>
    <row r="280" spans="1:8" x14ac:dyDescent="0.25">
      <c r="A280">
        <v>100</v>
      </c>
      <c r="B280">
        <v>100</v>
      </c>
      <c r="C280" s="2">
        <f t="shared" si="21"/>
        <v>100</v>
      </c>
      <c r="D280" s="2">
        <f t="shared" si="21"/>
        <v>100</v>
      </c>
      <c r="E280" s="2">
        <f t="shared" si="22"/>
        <v>257.5</v>
      </c>
      <c r="F280" s="2">
        <f t="shared" si="23"/>
        <v>265</v>
      </c>
      <c r="G280" s="2">
        <f t="shared" si="24"/>
        <v>-7.5</v>
      </c>
      <c r="H280" s="2">
        <f t="shared" si="25"/>
        <v>56.25</v>
      </c>
    </row>
    <row r="281" spans="1:8" x14ac:dyDescent="0.25">
      <c r="A281">
        <v>0</v>
      </c>
      <c r="B281">
        <v>0</v>
      </c>
      <c r="C281" s="2">
        <f t="shared" si="21"/>
        <v>0</v>
      </c>
      <c r="D281" s="2">
        <f t="shared" si="21"/>
        <v>0</v>
      </c>
      <c r="E281" s="2">
        <f t="shared" si="22"/>
        <v>56.5</v>
      </c>
      <c r="F281" s="2">
        <f t="shared" si="23"/>
        <v>66.5</v>
      </c>
      <c r="G281" s="2">
        <f t="shared" si="24"/>
        <v>-10</v>
      </c>
      <c r="H281" s="2">
        <f t="shared" si="25"/>
        <v>100</v>
      </c>
    </row>
    <row r="282" spans="1:8" x14ac:dyDescent="0.25">
      <c r="A282">
        <v>100</v>
      </c>
      <c r="B282">
        <v>100</v>
      </c>
      <c r="C282" s="2">
        <f t="shared" si="21"/>
        <v>100</v>
      </c>
      <c r="D282" s="2">
        <f t="shared" si="21"/>
        <v>100</v>
      </c>
      <c r="E282" s="2">
        <f t="shared" si="22"/>
        <v>257.5</v>
      </c>
      <c r="F282" s="2">
        <f t="shared" si="23"/>
        <v>265</v>
      </c>
      <c r="G282" s="2">
        <f t="shared" si="24"/>
        <v>-7.5</v>
      </c>
      <c r="H282" s="2">
        <f t="shared" si="25"/>
        <v>56.25</v>
      </c>
    </row>
    <row r="283" spans="1:8" x14ac:dyDescent="0.25">
      <c r="A283">
        <v>0</v>
      </c>
      <c r="B283">
        <v>0</v>
      </c>
      <c r="C283" s="2">
        <f t="shared" si="21"/>
        <v>0</v>
      </c>
      <c r="D283" s="2">
        <f t="shared" si="21"/>
        <v>0</v>
      </c>
      <c r="E283" s="2">
        <f t="shared" si="22"/>
        <v>56.5</v>
      </c>
      <c r="F283" s="2">
        <f t="shared" si="23"/>
        <v>66.5</v>
      </c>
      <c r="G283" s="2">
        <f t="shared" si="24"/>
        <v>-10</v>
      </c>
      <c r="H283" s="2">
        <f t="shared" si="25"/>
        <v>100</v>
      </c>
    </row>
    <row r="284" spans="1:8" x14ac:dyDescent="0.25">
      <c r="A284">
        <v>0</v>
      </c>
      <c r="B284">
        <v>0</v>
      </c>
      <c r="C284" s="2">
        <f t="shared" si="21"/>
        <v>0</v>
      </c>
      <c r="D284" s="2">
        <f t="shared" si="21"/>
        <v>0</v>
      </c>
      <c r="E284" s="2">
        <f t="shared" si="22"/>
        <v>56.5</v>
      </c>
      <c r="F284" s="2">
        <f t="shared" si="23"/>
        <v>66.5</v>
      </c>
      <c r="G284" s="2">
        <f t="shared" si="24"/>
        <v>-10</v>
      </c>
      <c r="H284" s="2">
        <f t="shared" si="25"/>
        <v>100</v>
      </c>
    </row>
    <row r="285" spans="1:8" x14ac:dyDescent="0.25">
      <c r="A285">
        <v>100</v>
      </c>
      <c r="B285">
        <v>88.888888888888886</v>
      </c>
      <c r="C285" s="2">
        <f t="shared" si="21"/>
        <v>100</v>
      </c>
      <c r="D285" s="2">
        <f t="shared" si="21"/>
        <v>88.888888888888886</v>
      </c>
      <c r="E285" s="2">
        <f t="shared" si="22"/>
        <v>257.5</v>
      </c>
      <c r="F285" s="2">
        <f t="shared" si="23"/>
        <v>185</v>
      </c>
      <c r="G285" s="2">
        <f t="shared" si="24"/>
        <v>72.5</v>
      </c>
      <c r="H285" s="2">
        <f t="shared" si="25"/>
        <v>5256.25</v>
      </c>
    </row>
    <row r="286" spans="1:8" x14ac:dyDescent="0.25">
      <c r="A286">
        <v>96.428571428571431</v>
      </c>
      <c r="B286">
        <v>95.454545454545453</v>
      </c>
      <c r="C286" s="2">
        <f t="shared" si="21"/>
        <v>96.428571428571431</v>
      </c>
      <c r="D286" s="2">
        <f t="shared" si="21"/>
        <v>95.454545454545453</v>
      </c>
      <c r="E286" s="2">
        <f t="shared" si="22"/>
        <v>201</v>
      </c>
      <c r="F286" s="2">
        <f t="shared" si="23"/>
        <v>214</v>
      </c>
      <c r="G286" s="2">
        <f t="shared" si="24"/>
        <v>-13</v>
      </c>
      <c r="H286" s="2">
        <f t="shared" si="25"/>
        <v>169</v>
      </c>
    </row>
    <row r="287" spans="1:8" x14ac:dyDescent="0.25">
      <c r="A287">
        <v>100</v>
      </c>
      <c r="B287">
        <v>90.476190476190482</v>
      </c>
      <c r="C287" s="2">
        <f t="shared" si="21"/>
        <v>100</v>
      </c>
      <c r="D287" s="2">
        <f t="shared" si="21"/>
        <v>90.476190476190482</v>
      </c>
      <c r="E287" s="2">
        <f t="shared" si="22"/>
        <v>257.5</v>
      </c>
      <c r="F287" s="2">
        <f t="shared" si="23"/>
        <v>195.5</v>
      </c>
      <c r="G287" s="2">
        <f t="shared" si="24"/>
        <v>62</v>
      </c>
      <c r="H287" s="2">
        <f t="shared" si="25"/>
        <v>3844</v>
      </c>
    </row>
    <row r="288" spans="1:8" x14ac:dyDescent="0.25">
      <c r="A288">
        <v>0</v>
      </c>
      <c r="B288">
        <v>0</v>
      </c>
      <c r="C288" s="2">
        <f t="shared" si="21"/>
        <v>0</v>
      </c>
      <c r="D288" s="2">
        <f t="shared" si="21"/>
        <v>0</v>
      </c>
      <c r="E288" s="2">
        <f t="shared" si="22"/>
        <v>56.5</v>
      </c>
      <c r="F288" s="2">
        <f t="shared" si="23"/>
        <v>66.5</v>
      </c>
      <c r="G288" s="2">
        <f t="shared" si="24"/>
        <v>-10</v>
      </c>
      <c r="H288" s="2">
        <f t="shared" si="25"/>
        <v>100</v>
      </c>
    </row>
    <row r="289" spans="1:8" x14ac:dyDescent="0.25">
      <c r="A289">
        <v>0</v>
      </c>
      <c r="B289">
        <v>100</v>
      </c>
      <c r="C289" s="2">
        <f t="shared" si="21"/>
        <v>0</v>
      </c>
      <c r="D289" s="2">
        <f t="shared" si="21"/>
        <v>100</v>
      </c>
      <c r="E289" s="2">
        <f t="shared" si="22"/>
        <v>56.5</v>
      </c>
      <c r="F289" s="2">
        <f t="shared" si="23"/>
        <v>265</v>
      </c>
      <c r="G289" s="2">
        <f t="shared" si="24"/>
        <v>-208.5</v>
      </c>
      <c r="H289" s="2">
        <f t="shared" si="25"/>
        <v>43472.25</v>
      </c>
    </row>
    <row r="290" spans="1:8" x14ac:dyDescent="0.25">
      <c r="A290">
        <v>91.666666666666657</v>
      </c>
      <c r="B290">
        <v>7.6923076923076925</v>
      </c>
      <c r="C290" s="2">
        <f t="shared" si="21"/>
        <v>91.666666666666657</v>
      </c>
      <c r="D290" s="2">
        <f t="shared" si="21"/>
        <v>7.6923076923076925</v>
      </c>
      <c r="E290" s="2">
        <f t="shared" si="22"/>
        <v>174</v>
      </c>
      <c r="F290" s="2">
        <f t="shared" si="23"/>
        <v>133</v>
      </c>
      <c r="G290" s="2">
        <f t="shared" si="24"/>
        <v>41</v>
      </c>
      <c r="H290" s="2">
        <f t="shared" si="25"/>
        <v>1681</v>
      </c>
    </row>
    <row r="291" spans="1:8" x14ac:dyDescent="0.25">
      <c r="A291">
        <v>100</v>
      </c>
      <c r="B291">
        <v>100</v>
      </c>
      <c r="C291" s="2">
        <f t="shared" si="21"/>
        <v>100</v>
      </c>
      <c r="D291" s="2">
        <f t="shared" si="21"/>
        <v>100</v>
      </c>
      <c r="E291" s="2">
        <f t="shared" si="22"/>
        <v>257.5</v>
      </c>
      <c r="F291" s="2">
        <f t="shared" si="23"/>
        <v>265</v>
      </c>
      <c r="G291" s="2">
        <f t="shared" si="24"/>
        <v>-7.5</v>
      </c>
      <c r="H291" s="2">
        <f t="shared" si="25"/>
        <v>56.25</v>
      </c>
    </row>
    <row r="292" spans="1:8" x14ac:dyDescent="0.25">
      <c r="A292">
        <v>100</v>
      </c>
      <c r="B292">
        <v>100</v>
      </c>
      <c r="C292" s="2">
        <f t="shared" si="21"/>
        <v>100</v>
      </c>
      <c r="D292" s="2">
        <f t="shared" si="21"/>
        <v>100</v>
      </c>
      <c r="E292" s="2">
        <f t="shared" si="22"/>
        <v>257.5</v>
      </c>
      <c r="F292" s="2">
        <f t="shared" si="23"/>
        <v>265</v>
      </c>
      <c r="G292" s="2">
        <f t="shared" si="24"/>
        <v>-7.5</v>
      </c>
      <c r="H292" s="2">
        <f t="shared" si="25"/>
        <v>56.25</v>
      </c>
    </row>
    <row r="293" spans="1:8" x14ac:dyDescent="0.25">
      <c r="A293">
        <v>0</v>
      </c>
      <c r="B293">
        <v>0</v>
      </c>
      <c r="C293" s="2">
        <f t="shared" si="21"/>
        <v>0</v>
      </c>
      <c r="D293" s="2">
        <f t="shared" si="21"/>
        <v>0</v>
      </c>
      <c r="E293" s="2">
        <f t="shared" si="22"/>
        <v>56.5</v>
      </c>
      <c r="F293" s="2">
        <f t="shared" si="23"/>
        <v>66.5</v>
      </c>
      <c r="G293" s="2">
        <f t="shared" si="24"/>
        <v>-10</v>
      </c>
      <c r="H293" s="2">
        <f t="shared" si="25"/>
        <v>100</v>
      </c>
    </row>
    <row r="294" spans="1:8" x14ac:dyDescent="0.25">
      <c r="A294">
        <v>100</v>
      </c>
      <c r="B294">
        <v>0</v>
      </c>
      <c r="C294" s="2">
        <f t="shared" si="21"/>
        <v>100</v>
      </c>
      <c r="D294" s="2">
        <f t="shared" si="21"/>
        <v>0</v>
      </c>
      <c r="E294" s="2">
        <f t="shared" si="22"/>
        <v>257.5</v>
      </c>
      <c r="F294" s="2">
        <f t="shared" si="23"/>
        <v>66.5</v>
      </c>
      <c r="G294" s="2">
        <f t="shared" si="24"/>
        <v>191</v>
      </c>
      <c r="H294" s="2">
        <f t="shared" si="25"/>
        <v>36481</v>
      </c>
    </row>
    <row r="295" spans="1:8" x14ac:dyDescent="0.25">
      <c r="A295">
        <v>50</v>
      </c>
      <c r="B295">
        <v>37.5</v>
      </c>
      <c r="C295" s="2">
        <f t="shared" si="21"/>
        <v>50</v>
      </c>
      <c r="D295" s="2">
        <f t="shared" si="21"/>
        <v>37.5</v>
      </c>
      <c r="E295" s="2">
        <f t="shared" si="22"/>
        <v>124.5</v>
      </c>
      <c r="F295" s="2">
        <f t="shared" si="23"/>
        <v>143</v>
      </c>
      <c r="G295" s="2">
        <f t="shared" si="24"/>
        <v>-18.5</v>
      </c>
      <c r="H295" s="2">
        <f t="shared" si="25"/>
        <v>342.25</v>
      </c>
    </row>
    <row r="296" spans="1:8" x14ac:dyDescent="0.25">
      <c r="A296">
        <v>57.142857142857139</v>
      </c>
      <c r="B296">
        <v>42.424242424242422</v>
      </c>
      <c r="C296" s="2">
        <f t="shared" si="21"/>
        <v>57.142857142857139</v>
      </c>
      <c r="D296" s="2">
        <f t="shared" si="21"/>
        <v>42.424242424242422</v>
      </c>
      <c r="E296" s="2">
        <f t="shared" si="22"/>
        <v>129.5</v>
      </c>
      <c r="F296" s="2">
        <f t="shared" si="23"/>
        <v>146</v>
      </c>
      <c r="G296" s="2">
        <f t="shared" si="24"/>
        <v>-16.5</v>
      </c>
      <c r="H296" s="2">
        <f t="shared" si="25"/>
        <v>272.25</v>
      </c>
    </row>
    <row r="297" spans="1:8" x14ac:dyDescent="0.25">
      <c r="A297">
        <v>37.5</v>
      </c>
      <c r="B297">
        <v>0</v>
      </c>
      <c r="C297" s="2">
        <f t="shared" si="21"/>
        <v>37.5</v>
      </c>
      <c r="D297" s="2">
        <f t="shared" si="21"/>
        <v>0</v>
      </c>
      <c r="E297" s="2">
        <f t="shared" si="22"/>
        <v>120</v>
      </c>
      <c r="F297" s="2">
        <f t="shared" si="23"/>
        <v>66.5</v>
      </c>
      <c r="G297" s="2">
        <f t="shared" si="24"/>
        <v>53.5</v>
      </c>
      <c r="H297" s="2">
        <f t="shared" si="25"/>
        <v>2862.25</v>
      </c>
    </row>
    <row r="298" spans="1:8" x14ac:dyDescent="0.25">
      <c r="A298">
        <v>60</v>
      </c>
      <c r="B298">
        <v>0</v>
      </c>
      <c r="C298" s="2">
        <f t="shared" si="21"/>
        <v>60</v>
      </c>
      <c r="D298" s="2">
        <f t="shared" si="21"/>
        <v>0</v>
      </c>
      <c r="E298" s="2">
        <f t="shared" si="22"/>
        <v>132</v>
      </c>
      <c r="F298" s="2">
        <f t="shared" si="23"/>
        <v>66.5</v>
      </c>
      <c r="G298" s="2">
        <f t="shared" si="24"/>
        <v>65.5</v>
      </c>
      <c r="H298" s="2">
        <f t="shared" si="25"/>
        <v>4290.25</v>
      </c>
    </row>
    <row r="299" spans="1:8" x14ac:dyDescent="0.25">
      <c r="A299">
        <v>0</v>
      </c>
      <c r="B299">
        <v>100</v>
      </c>
      <c r="C299" s="2">
        <f t="shared" si="21"/>
        <v>0</v>
      </c>
      <c r="D299" s="2">
        <f t="shared" si="21"/>
        <v>100</v>
      </c>
      <c r="E299" s="2">
        <f t="shared" si="22"/>
        <v>56.5</v>
      </c>
      <c r="F299" s="2">
        <f t="shared" si="23"/>
        <v>265</v>
      </c>
      <c r="G299" s="2">
        <f t="shared" si="24"/>
        <v>-208.5</v>
      </c>
      <c r="H299" s="2">
        <f t="shared" si="25"/>
        <v>43472.25</v>
      </c>
    </row>
    <row r="300" spans="1:8" x14ac:dyDescent="0.25">
      <c r="A300">
        <v>100</v>
      </c>
      <c r="B300">
        <v>100</v>
      </c>
      <c r="C300" s="2">
        <f t="shared" si="21"/>
        <v>100</v>
      </c>
      <c r="D300" s="2">
        <f t="shared" si="21"/>
        <v>100</v>
      </c>
      <c r="E300" s="2">
        <f t="shared" si="22"/>
        <v>257.5</v>
      </c>
      <c r="F300" s="2">
        <f t="shared" si="23"/>
        <v>265</v>
      </c>
      <c r="G300" s="2">
        <f t="shared" si="24"/>
        <v>-7.5</v>
      </c>
      <c r="H300" s="2">
        <f t="shared" si="25"/>
        <v>56.25</v>
      </c>
    </row>
    <row r="301" spans="1:8" x14ac:dyDescent="0.25">
      <c r="A301">
        <v>0</v>
      </c>
      <c r="B301">
        <v>100</v>
      </c>
      <c r="C301" s="2">
        <f t="shared" si="21"/>
        <v>0</v>
      </c>
      <c r="D301" s="2">
        <f t="shared" si="21"/>
        <v>100</v>
      </c>
      <c r="E301" s="2">
        <f t="shared" si="22"/>
        <v>56.5</v>
      </c>
      <c r="F301" s="2">
        <f t="shared" si="23"/>
        <v>265</v>
      </c>
      <c r="G301" s="2">
        <f t="shared" si="24"/>
        <v>-208.5</v>
      </c>
      <c r="H301" s="2">
        <f t="shared" si="25"/>
        <v>43472.25</v>
      </c>
    </row>
    <row r="302" spans="1:8" x14ac:dyDescent="0.25">
      <c r="A302">
        <v>0</v>
      </c>
      <c r="B302">
        <v>100</v>
      </c>
      <c r="C302" s="2">
        <f t="shared" si="21"/>
        <v>0</v>
      </c>
      <c r="D302" s="2">
        <f t="shared" si="21"/>
        <v>100</v>
      </c>
      <c r="E302" s="2">
        <f t="shared" si="22"/>
        <v>56.5</v>
      </c>
      <c r="F302" s="2">
        <f t="shared" si="23"/>
        <v>265</v>
      </c>
      <c r="G302" s="2">
        <f t="shared" si="24"/>
        <v>-208.5</v>
      </c>
      <c r="H302" s="2">
        <f t="shared" si="25"/>
        <v>43472.25</v>
      </c>
    </row>
    <row r="303" spans="1:8" x14ac:dyDescent="0.25">
      <c r="A303">
        <v>0</v>
      </c>
      <c r="B303">
        <v>100</v>
      </c>
      <c r="C303" s="2">
        <f t="shared" si="21"/>
        <v>0</v>
      </c>
      <c r="D303" s="2">
        <f t="shared" si="21"/>
        <v>100</v>
      </c>
      <c r="E303" s="2">
        <f t="shared" si="22"/>
        <v>56.5</v>
      </c>
      <c r="F303" s="2">
        <f t="shared" si="23"/>
        <v>265</v>
      </c>
      <c r="G303" s="2">
        <f t="shared" si="24"/>
        <v>-208.5</v>
      </c>
      <c r="H303" s="2">
        <f t="shared" si="25"/>
        <v>43472.25</v>
      </c>
    </row>
    <row r="304" spans="1:8" x14ac:dyDescent="0.25">
      <c r="A304">
        <v>80</v>
      </c>
      <c r="B304">
        <v>100</v>
      </c>
      <c r="C304" s="2">
        <f t="shared" si="21"/>
        <v>80</v>
      </c>
      <c r="D304" s="2">
        <f t="shared" si="21"/>
        <v>100</v>
      </c>
      <c r="E304" s="2">
        <f t="shared" si="22"/>
        <v>149.5</v>
      </c>
      <c r="F304" s="2">
        <f t="shared" si="23"/>
        <v>265</v>
      </c>
      <c r="G304" s="2">
        <f t="shared" si="24"/>
        <v>-115.5</v>
      </c>
      <c r="H304" s="2">
        <f t="shared" si="25"/>
        <v>13340.25</v>
      </c>
    </row>
    <row r="305" spans="1:8" x14ac:dyDescent="0.25">
      <c r="A305">
        <v>95</v>
      </c>
      <c r="B305">
        <v>80.769230769230774</v>
      </c>
      <c r="C305" s="2">
        <f t="shared" si="21"/>
        <v>95</v>
      </c>
      <c r="D305" s="2">
        <f t="shared" si="21"/>
        <v>80.769230769230774</v>
      </c>
      <c r="E305" s="2">
        <f t="shared" si="22"/>
        <v>192</v>
      </c>
      <c r="F305" s="2">
        <f t="shared" si="23"/>
        <v>161</v>
      </c>
      <c r="G305" s="2">
        <f t="shared" si="24"/>
        <v>31</v>
      </c>
      <c r="H305" s="2">
        <f t="shared" si="25"/>
        <v>961</v>
      </c>
    </row>
    <row r="306" spans="1:8" x14ac:dyDescent="0.25">
      <c r="A306">
        <v>0</v>
      </c>
      <c r="B306">
        <v>33.333333333333329</v>
      </c>
      <c r="C306" s="2">
        <f t="shared" si="21"/>
        <v>0</v>
      </c>
      <c r="D306" s="2">
        <f t="shared" si="21"/>
        <v>33.333333333333329</v>
      </c>
      <c r="E306" s="2">
        <f t="shared" si="22"/>
        <v>56.5</v>
      </c>
      <c r="F306" s="2">
        <f t="shared" si="23"/>
        <v>142</v>
      </c>
      <c r="G306" s="2">
        <f t="shared" si="24"/>
        <v>-85.5</v>
      </c>
      <c r="H306" s="2">
        <f t="shared" si="25"/>
        <v>7310.25</v>
      </c>
    </row>
    <row r="307" spans="1:8" x14ac:dyDescent="0.25">
      <c r="C307" s="2" t="str">
        <f t="shared" si="21"/>
        <v/>
      </c>
      <c r="D307" s="2" t="str">
        <f t="shared" si="21"/>
        <v/>
      </c>
      <c r="E307" s="2" t="str">
        <f t="shared" si="22"/>
        <v/>
      </c>
      <c r="F307" s="2" t="str">
        <f t="shared" si="23"/>
        <v/>
      </c>
      <c r="G307" s="2" t="str">
        <f t="shared" si="24"/>
        <v/>
      </c>
      <c r="H307" s="2" t="str">
        <f t="shared" si="25"/>
        <v/>
      </c>
    </row>
    <row r="308" spans="1:8" x14ac:dyDescent="0.25">
      <c r="C308" s="2" t="str">
        <f t="shared" ref="C308:D371" si="26">IF(AND($A308&lt;&gt;"",$B308&lt;&gt;""),A308,"")</f>
        <v/>
      </c>
      <c r="D308" s="2" t="str">
        <f t="shared" si="26"/>
        <v/>
      </c>
      <c r="E308" s="2" t="str">
        <f t="shared" si="22"/>
        <v/>
      </c>
      <c r="F308" s="2" t="str">
        <f t="shared" si="23"/>
        <v/>
      </c>
      <c r="G308" s="2" t="str">
        <f t="shared" si="24"/>
        <v/>
      </c>
      <c r="H308" s="2" t="str">
        <f t="shared" si="25"/>
        <v/>
      </c>
    </row>
    <row r="309" spans="1:8" x14ac:dyDescent="0.25">
      <c r="C309" s="2" t="str">
        <f t="shared" si="26"/>
        <v/>
      </c>
      <c r="D309" s="2" t="str">
        <f t="shared" si="26"/>
        <v/>
      </c>
      <c r="E309" s="2" t="str">
        <f t="shared" si="22"/>
        <v/>
      </c>
      <c r="F309" s="2" t="str">
        <f t="shared" si="23"/>
        <v/>
      </c>
      <c r="G309" s="2" t="str">
        <f t="shared" si="24"/>
        <v/>
      </c>
      <c r="H309" s="2" t="str">
        <f t="shared" si="25"/>
        <v/>
      </c>
    </row>
    <row r="310" spans="1:8" x14ac:dyDescent="0.25">
      <c r="C310" s="2" t="str">
        <f t="shared" si="26"/>
        <v/>
      </c>
      <c r="D310" s="2" t="str">
        <f t="shared" si="26"/>
        <v/>
      </c>
      <c r="E310" s="2" t="str">
        <f t="shared" si="22"/>
        <v/>
      </c>
      <c r="F310" s="2" t="str">
        <f t="shared" si="23"/>
        <v/>
      </c>
      <c r="G310" s="2" t="str">
        <f t="shared" si="24"/>
        <v/>
      </c>
      <c r="H310" s="2" t="str">
        <f t="shared" si="25"/>
        <v/>
      </c>
    </row>
    <row r="311" spans="1:8" x14ac:dyDescent="0.25">
      <c r="C311" s="2" t="str">
        <f t="shared" si="26"/>
        <v/>
      </c>
      <c r="D311" s="2" t="str">
        <f t="shared" si="26"/>
        <v/>
      </c>
      <c r="E311" s="2" t="str">
        <f t="shared" si="22"/>
        <v/>
      </c>
      <c r="F311" s="2" t="str">
        <f t="shared" si="23"/>
        <v/>
      </c>
      <c r="G311" s="2" t="str">
        <f t="shared" si="24"/>
        <v/>
      </c>
      <c r="H311" s="2" t="str">
        <f t="shared" si="25"/>
        <v/>
      </c>
    </row>
    <row r="312" spans="1:8" x14ac:dyDescent="0.25">
      <c r="C312" s="2" t="str">
        <f t="shared" si="26"/>
        <v/>
      </c>
      <c r="D312" s="2" t="str">
        <f t="shared" si="26"/>
        <v/>
      </c>
      <c r="E312" s="2" t="str">
        <f t="shared" si="22"/>
        <v/>
      </c>
      <c r="F312" s="2" t="str">
        <f t="shared" si="23"/>
        <v/>
      </c>
      <c r="G312" s="2" t="str">
        <f t="shared" si="24"/>
        <v/>
      </c>
      <c r="H312" s="2" t="str">
        <f t="shared" si="25"/>
        <v/>
      </c>
    </row>
    <row r="313" spans="1:8" x14ac:dyDescent="0.25">
      <c r="C313" s="2" t="str">
        <f t="shared" si="26"/>
        <v/>
      </c>
      <c r="D313" s="2" t="str">
        <f t="shared" si="26"/>
        <v/>
      </c>
      <c r="E313" s="2" t="str">
        <f t="shared" si="22"/>
        <v/>
      </c>
      <c r="F313" s="2" t="str">
        <f t="shared" si="23"/>
        <v/>
      </c>
      <c r="G313" s="2" t="str">
        <f t="shared" si="24"/>
        <v/>
      </c>
      <c r="H313" s="2" t="str">
        <f t="shared" si="25"/>
        <v/>
      </c>
    </row>
    <row r="314" spans="1:8" x14ac:dyDescent="0.25">
      <c r="C314" s="2" t="str">
        <f t="shared" si="26"/>
        <v/>
      </c>
      <c r="D314" s="2" t="str">
        <f t="shared" si="26"/>
        <v/>
      </c>
      <c r="E314" s="2" t="str">
        <f t="shared" si="22"/>
        <v/>
      </c>
      <c r="F314" s="2" t="str">
        <f t="shared" si="23"/>
        <v/>
      </c>
      <c r="G314" s="2" t="str">
        <f t="shared" si="24"/>
        <v/>
      </c>
      <c r="H314" s="2" t="str">
        <f t="shared" si="25"/>
        <v/>
      </c>
    </row>
    <row r="315" spans="1:8" x14ac:dyDescent="0.25">
      <c r="C315" s="2" t="str">
        <f t="shared" si="26"/>
        <v/>
      </c>
      <c r="D315" s="2" t="str">
        <f t="shared" si="26"/>
        <v/>
      </c>
      <c r="E315" s="2" t="str">
        <f t="shared" si="22"/>
        <v/>
      </c>
      <c r="F315" s="2" t="str">
        <f t="shared" si="23"/>
        <v/>
      </c>
      <c r="G315" s="2" t="str">
        <f t="shared" si="24"/>
        <v/>
      </c>
      <c r="H315" s="2" t="str">
        <f t="shared" si="25"/>
        <v/>
      </c>
    </row>
    <row r="316" spans="1:8" x14ac:dyDescent="0.25">
      <c r="C316" s="2" t="str">
        <f t="shared" si="26"/>
        <v/>
      </c>
      <c r="D316" s="2" t="str">
        <f t="shared" si="26"/>
        <v/>
      </c>
      <c r="E316" s="2" t="str">
        <f t="shared" si="22"/>
        <v/>
      </c>
      <c r="F316" s="2" t="str">
        <f t="shared" si="23"/>
        <v/>
      </c>
      <c r="G316" s="2" t="str">
        <f t="shared" si="24"/>
        <v/>
      </c>
      <c r="H316" s="2" t="str">
        <f t="shared" si="25"/>
        <v/>
      </c>
    </row>
    <row r="317" spans="1:8" x14ac:dyDescent="0.25">
      <c r="C317" s="2" t="str">
        <f t="shared" si="26"/>
        <v/>
      </c>
      <c r="D317" s="2" t="str">
        <f t="shared" si="26"/>
        <v/>
      </c>
      <c r="E317" s="2" t="str">
        <f t="shared" si="22"/>
        <v/>
      </c>
      <c r="F317" s="2" t="str">
        <f t="shared" si="23"/>
        <v/>
      </c>
      <c r="G317" s="2" t="str">
        <f t="shared" si="24"/>
        <v/>
      </c>
      <c r="H317" s="2" t="str">
        <f t="shared" si="25"/>
        <v/>
      </c>
    </row>
    <row r="318" spans="1:8" x14ac:dyDescent="0.25">
      <c r="C318" s="2" t="str">
        <f t="shared" si="26"/>
        <v/>
      </c>
      <c r="D318" s="2" t="str">
        <f t="shared" si="26"/>
        <v/>
      </c>
      <c r="E318" s="2" t="str">
        <f t="shared" si="22"/>
        <v/>
      </c>
      <c r="F318" s="2" t="str">
        <f t="shared" si="23"/>
        <v/>
      </c>
      <c r="G318" s="2" t="str">
        <f t="shared" si="24"/>
        <v/>
      </c>
      <c r="H318" s="2" t="str">
        <f t="shared" si="25"/>
        <v/>
      </c>
    </row>
    <row r="319" spans="1:8" x14ac:dyDescent="0.25">
      <c r="C319" s="2" t="str">
        <f t="shared" si="26"/>
        <v/>
      </c>
      <c r="D319" s="2" t="str">
        <f t="shared" si="26"/>
        <v/>
      </c>
      <c r="E319" s="2" t="str">
        <f t="shared" si="22"/>
        <v/>
      </c>
      <c r="F319" s="2" t="str">
        <f t="shared" si="23"/>
        <v/>
      </c>
      <c r="G319" s="2" t="str">
        <f t="shared" si="24"/>
        <v/>
      </c>
      <c r="H319" s="2" t="str">
        <f t="shared" si="25"/>
        <v/>
      </c>
    </row>
    <row r="320" spans="1:8" x14ac:dyDescent="0.25">
      <c r="C320" s="2" t="str">
        <f t="shared" si="26"/>
        <v/>
      </c>
      <c r="D320" s="2" t="str">
        <f t="shared" si="26"/>
        <v/>
      </c>
      <c r="E320" s="2" t="str">
        <f t="shared" si="22"/>
        <v/>
      </c>
      <c r="F320" s="2" t="str">
        <f t="shared" si="23"/>
        <v/>
      </c>
      <c r="G320" s="2" t="str">
        <f t="shared" si="24"/>
        <v/>
      </c>
      <c r="H320" s="2" t="str">
        <f t="shared" si="25"/>
        <v/>
      </c>
    </row>
    <row r="321" spans="3:8" x14ac:dyDescent="0.25">
      <c r="C321" s="2" t="str">
        <f t="shared" si="26"/>
        <v/>
      </c>
      <c r="D321" s="2" t="str">
        <f t="shared" si="26"/>
        <v/>
      </c>
      <c r="E321" s="2" t="str">
        <f t="shared" si="22"/>
        <v/>
      </c>
      <c r="F321" s="2" t="str">
        <f t="shared" si="23"/>
        <v/>
      </c>
      <c r="G321" s="2" t="str">
        <f t="shared" si="24"/>
        <v/>
      </c>
      <c r="H321" s="2" t="str">
        <f t="shared" si="25"/>
        <v/>
      </c>
    </row>
    <row r="322" spans="3:8" x14ac:dyDescent="0.25">
      <c r="C322" s="2" t="str">
        <f t="shared" si="26"/>
        <v/>
      </c>
      <c r="D322" s="2" t="str">
        <f t="shared" si="26"/>
        <v/>
      </c>
      <c r="E322" s="2" t="str">
        <f t="shared" si="22"/>
        <v/>
      </c>
      <c r="F322" s="2" t="str">
        <f t="shared" si="23"/>
        <v/>
      </c>
      <c r="G322" s="2" t="str">
        <f t="shared" si="24"/>
        <v/>
      </c>
      <c r="H322" s="2" t="str">
        <f t="shared" si="25"/>
        <v/>
      </c>
    </row>
    <row r="323" spans="3:8" x14ac:dyDescent="0.25">
      <c r="C323" s="2" t="str">
        <f t="shared" si="26"/>
        <v/>
      </c>
      <c r="D323" s="2" t="str">
        <f t="shared" si="26"/>
        <v/>
      </c>
      <c r="E323" s="2" t="str">
        <f t="shared" ref="E323:F386" si="27">IF(C323="","",_xlfn.RANK.AVG(C323,C$2:C$468,1))</f>
        <v/>
      </c>
      <c r="F323" s="2" t="str">
        <f t="shared" si="27"/>
        <v/>
      </c>
      <c r="G323" s="2" t="str">
        <f t="shared" ref="G323:G386" si="28">IF(C323="","",E323-F323)</f>
        <v/>
      </c>
      <c r="H323" s="2" t="str">
        <f t="shared" ref="H323:H386" si="29">IF(C323="","",G323^2)</f>
        <v/>
      </c>
    </row>
    <row r="324" spans="3:8" x14ac:dyDescent="0.25">
      <c r="C324" s="2" t="str">
        <f t="shared" si="26"/>
        <v/>
      </c>
      <c r="D324" s="2" t="str">
        <f t="shared" si="26"/>
        <v/>
      </c>
      <c r="E324" s="2" t="str">
        <f t="shared" si="27"/>
        <v/>
      </c>
      <c r="F324" s="2" t="str">
        <f t="shared" si="27"/>
        <v/>
      </c>
      <c r="G324" s="2" t="str">
        <f t="shared" si="28"/>
        <v/>
      </c>
      <c r="H324" s="2" t="str">
        <f t="shared" si="29"/>
        <v/>
      </c>
    </row>
    <row r="325" spans="3:8" x14ac:dyDescent="0.25">
      <c r="C325" s="2" t="str">
        <f t="shared" si="26"/>
        <v/>
      </c>
      <c r="D325" s="2" t="str">
        <f t="shared" si="26"/>
        <v/>
      </c>
      <c r="E325" s="2" t="str">
        <f t="shared" si="27"/>
        <v/>
      </c>
      <c r="F325" s="2" t="str">
        <f t="shared" si="27"/>
        <v/>
      </c>
      <c r="G325" s="2" t="str">
        <f t="shared" si="28"/>
        <v/>
      </c>
      <c r="H325" s="2" t="str">
        <f t="shared" si="29"/>
        <v/>
      </c>
    </row>
    <row r="326" spans="3:8" x14ac:dyDescent="0.25">
      <c r="C326" s="2" t="str">
        <f t="shared" si="26"/>
        <v/>
      </c>
      <c r="D326" s="2" t="str">
        <f t="shared" si="26"/>
        <v/>
      </c>
      <c r="E326" s="2" t="str">
        <f t="shared" si="27"/>
        <v/>
      </c>
      <c r="F326" s="2" t="str">
        <f t="shared" si="27"/>
        <v/>
      </c>
      <c r="G326" s="2" t="str">
        <f t="shared" si="28"/>
        <v/>
      </c>
      <c r="H326" s="2" t="str">
        <f t="shared" si="29"/>
        <v/>
      </c>
    </row>
    <row r="327" spans="3:8" x14ac:dyDescent="0.25">
      <c r="C327" s="2" t="str">
        <f t="shared" si="26"/>
        <v/>
      </c>
      <c r="D327" s="2" t="str">
        <f t="shared" si="26"/>
        <v/>
      </c>
      <c r="E327" s="2" t="str">
        <f t="shared" si="27"/>
        <v/>
      </c>
      <c r="F327" s="2" t="str">
        <f t="shared" si="27"/>
        <v/>
      </c>
      <c r="G327" s="2" t="str">
        <f t="shared" si="28"/>
        <v/>
      </c>
      <c r="H327" s="2" t="str">
        <f t="shared" si="29"/>
        <v/>
      </c>
    </row>
    <row r="328" spans="3:8" x14ac:dyDescent="0.25">
      <c r="C328" s="2" t="str">
        <f t="shared" si="26"/>
        <v/>
      </c>
      <c r="D328" s="2" t="str">
        <f t="shared" si="26"/>
        <v/>
      </c>
      <c r="E328" s="2" t="str">
        <f t="shared" si="27"/>
        <v/>
      </c>
      <c r="F328" s="2" t="str">
        <f t="shared" si="27"/>
        <v/>
      </c>
      <c r="G328" s="2" t="str">
        <f t="shared" si="28"/>
        <v/>
      </c>
      <c r="H328" s="2" t="str">
        <f t="shared" si="29"/>
        <v/>
      </c>
    </row>
    <row r="329" spans="3:8" x14ac:dyDescent="0.25">
      <c r="C329" s="2" t="str">
        <f t="shared" si="26"/>
        <v/>
      </c>
      <c r="D329" s="2" t="str">
        <f t="shared" si="26"/>
        <v/>
      </c>
      <c r="E329" s="2" t="str">
        <f t="shared" si="27"/>
        <v/>
      </c>
      <c r="F329" s="2" t="str">
        <f t="shared" si="27"/>
        <v/>
      </c>
      <c r="G329" s="2" t="str">
        <f t="shared" si="28"/>
        <v/>
      </c>
      <c r="H329" s="2" t="str">
        <f t="shared" si="29"/>
        <v/>
      </c>
    </row>
    <row r="330" spans="3:8" x14ac:dyDescent="0.25">
      <c r="C330" s="2" t="str">
        <f t="shared" si="26"/>
        <v/>
      </c>
      <c r="D330" s="2" t="str">
        <f t="shared" si="26"/>
        <v/>
      </c>
      <c r="E330" s="2" t="str">
        <f t="shared" si="27"/>
        <v/>
      </c>
      <c r="F330" s="2" t="str">
        <f t="shared" si="27"/>
        <v/>
      </c>
      <c r="G330" s="2" t="str">
        <f t="shared" si="28"/>
        <v/>
      </c>
      <c r="H330" s="2" t="str">
        <f t="shared" si="29"/>
        <v/>
      </c>
    </row>
    <row r="331" spans="3:8" x14ac:dyDescent="0.25">
      <c r="C331" s="2" t="str">
        <f t="shared" si="26"/>
        <v/>
      </c>
      <c r="D331" s="2" t="str">
        <f t="shared" si="26"/>
        <v/>
      </c>
      <c r="E331" s="2" t="str">
        <f t="shared" si="27"/>
        <v/>
      </c>
      <c r="F331" s="2" t="str">
        <f t="shared" si="27"/>
        <v/>
      </c>
      <c r="G331" s="2" t="str">
        <f t="shared" si="28"/>
        <v/>
      </c>
      <c r="H331" s="2" t="str">
        <f t="shared" si="29"/>
        <v/>
      </c>
    </row>
    <row r="332" spans="3:8" x14ac:dyDescent="0.25">
      <c r="C332" s="2" t="str">
        <f t="shared" si="26"/>
        <v/>
      </c>
      <c r="D332" s="2" t="str">
        <f t="shared" si="26"/>
        <v/>
      </c>
      <c r="E332" s="2" t="str">
        <f t="shared" si="27"/>
        <v/>
      </c>
      <c r="F332" s="2" t="str">
        <f t="shared" si="27"/>
        <v/>
      </c>
      <c r="G332" s="2" t="str">
        <f t="shared" si="28"/>
        <v/>
      </c>
      <c r="H332" s="2" t="str">
        <f t="shared" si="29"/>
        <v/>
      </c>
    </row>
    <row r="333" spans="3:8" x14ac:dyDescent="0.25">
      <c r="C333" s="2" t="str">
        <f t="shared" si="26"/>
        <v/>
      </c>
      <c r="D333" s="2" t="str">
        <f t="shared" si="26"/>
        <v/>
      </c>
      <c r="E333" s="2" t="str">
        <f t="shared" si="27"/>
        <v/>
      </c>
      <c r="F333" s="2" t="str">
        <f t="shared" si="27"/>
        <v/>
      </c>
      <c r="G333" s="2" t="str">
        <f t="shared" si="28"/>
        <v/>
      </c>
      <c r="H333" s="2" t="str">
        <f t="shared" si="29"/>
        <v/>
      </c>
    </row>
    <row r="334" spans="3:8" x14ac:dyDescent="0.25">
      <c r="C334" s="2" t="str">
        <f t="shared" si="26"/>
        <v/>
      </c>
      <c r="D334" s="2" t="str">
        <f t="shared" si="26"/>
        <v/>
      </c>
      <c r="E334" s="2" t="str">
        <f t="shared" si="27"/>
        <v/>
      </c>
      <c r="F334" s="2" t="str">
        <f t="shared" si="27"/>
        <v/>
      </c>
      <c r="G334" s="2" t="str">
        <f t="shared" si="28"/>
        <v/>
      </c>
      <c r="H334" s="2" t="str">
        <f t="shared" si="29"/>
        <v/>
      </c>
    </row>
    <row r="335" spans="3:8" x14ac:dyDescent="0.25">
      <c r="C335" s="2" t="str">
        <f t="shared" si="26"/>
        <v/>
      </c>
      <c r="D335" s="2" t="str">
        <f t="shared" si="26"/>
        <v/>
      </c>
      <c r="E335" s="2" t="str">
        <f t="shared" si="27"/>
        <v/>
      </c>
      <c r="F335" s="2" t="str">
        <f t="shared" si="27"/>
        <v/>
      </c>
      <c r="G335" s="2" t="str">
        <f t="shared" si="28"/>
        <v/>
      </c>
      <c r="H335" s="2" t="str">
        <f t="shared" si="29"/>
        <v/>
      </c>
    </row>
    <row r="336" spans="3:8" x14ac:dyDescent="0.25">
      <c r="C336" s="2" t="str">
        <f t="shared" si="26"/>
        <v/>
      </c>
      <c r="D336" s="2" t="str">
        <f t="shared" si="26"/>
        <v/>
      </c>
      <c r="E336" s="2" t="str">
        <f t="shared" si="27"/>
        <v/>
      </c>
      <c r="F336" s="2" t="str">
        <f t="shared" si="27"/>
        <v/>
      </c>
      <c r="G336" s="2" t="str">
        <f t="shared" si="28"/>
        <v/>
      </c>
      <c r="H336" s="2" t="str">
        <f t="shared" si="29"/>
        <v/>
      </c>
    </row>
    <row r="337" spans="3:8" x14ac:dyDescent="0.25">
      <c r="C337" s="2" t="str">
        <f t="shared" si="26"/>
        <v/>
      </c>
      <c r="D337" s="2" t="str">
        <f t="shared" si="26"/>
        <v/>
      </c>
      <c r="E337" s="2" t="str">
        <f t="shared" si="27"/>
        <v/>
      </c>
      <c r="F337" s="2" t="str">
        <f t="shared" si="27"/>
        <v/>
      </c>
      <c r="G337" s="2" t="str">
        <f t="shared" si="28"/>
        <v/>
      </c>
      <c r="H337" s="2" t="str">
        <f t="shared" si="29"/>
        <v/>
      </c>
    </row>
    <row r="338" spans="3:8" x14ac:dyDescent="0.25">
      <c r="C338" s="2" t="str">
        <f t="shared" si="26"/>
        <v/>
      </c>
      <c r="D338" s="2" t="str">
        <f t="shared" si="26"/>
        <v/>
      </c>
      <c r="E338" s="2" t="str">
        <f t="shared" si="27"/>
        <v/>
      </c>
      <c r="F338" s="2" t="str">
        <f t="shared" si="27"/>
        <v/>
      </c>
      <c r="G338" s="2" t="str">
        <f t="shared" si="28"/>
        <v/>
      </c>
      <c r="H338" s="2" t="str">
        <f t="shared" si="29"/>
        <v/>
      </c>
    </row>
    <row r="339" spans="3:8" x14ac:dyDescent="0.25">
      <c r="C339" s="2" t="str">
        <f t="shared" si="26"/>
        <v/>
      </c>
      <c r="D339" s="2" t="str">
        <f t="shared" si="26"/>
        <v/>
      </c>
      <c r="E339" s="2" t="str">
        <f t="shared" si="27"/>
        <v/>
      </c>
      <c r="F339" s="2" t="str">
        <f t="shared" si="27"/>
        <v/>
      </c>
      <c r="G339" s="2" t="str">
        <f t="shared" si="28"/>
        <v/>
      </c>
      <c r="H339" s="2" t="str">
        <f t="shared" si="29"/>
        <v/>
      </c>
    </row>
    <row r="340" spans="3:8" x14ac:dyDescent="0.25">
      <c r="C340" s="2" t="str">
        <f t="shared" si="26"/>
        <v/>
      </c>
      <c r="D340" s="2" t="str">
        <f t="shared" si="26"/>
        <v/>
      </c>
      <c r="E340" s="2" t="str">
        <f t="shared" si="27"/>
        <v/>
      </c>
      <c r="F340" s="2" t="str">
        <f t="shared" si="27"/>
        <v/>
      </c>
      <c r="G340" s="2" t="str">
        <f t="shared" si="28"/>
        <v/>
      </c>
      <c r="H340" s="2" t="str">
        <f t="shared" si="29"/>
        <v/>
      </c>
    </row>
    <row r="341" spans="3:8" x14ac:dyDescent="0.25">
      <c r="C341" s="2" t="str">
        <f t="shared" si="26"/>
        <v/>
      </c>
      <c r="D341" s="2" t="str">
        <f t="shared" si="26"/>
        <v/>
      </c>
      <c r="E341" s="2" t="str">
        <f t="shared" si="27"/>
        <v/>
      </c>
      <c r="F341" s="2" t="str">
        <f t="shared" si="27"/>
        <v/>
      </c>
      <c r="G341" s="2" t="str">
        <f t="shared" si="28"/>
        <v/>
      </c>
      <c r="H341" s="2" t="str">
        <f t="shared" si="29"/>
        <v/>
      </c>
    </row>
    <row r="342" spans="3:8" x14ac:dyDescent="0.25">
      <c r="C342" s="2" t="str">
        <f t="shared" si="26"/>
        <v/>
      </c>
      <c r="D342" s="2" t="str">
        <f t="shared" si="26"/>
        <v/>
      </c>
      <c r="E342" s="2" t="str">
        <f t="shared" si="27"/>
        <v/>
      </c>
      <c r="F342" s="2" t="str">
        <f t="shared" si="27"/>
        <v/>
      </c>
      <c r="G342" s="2" t="str">
        <f t="shared" si="28"/>
        <v/>
      </c>
      <c r="H342" s="2" t="str">
        <f t="shared" si="29"/>
        <v/>
      </c>
    </row>
    <row r="343" spans="3:8" x14ac:dyDescent="0.25">
      <c r="C343" s="2" t="str">
        <f t="shared" si="26"/>
        <v/>
      </c>
      <c r="D343" s="2" t="str">
        <f t="shared" si="26"/>
        <v/>
      </c>
      <c r="E343" s="2" t="str">
        <f t="shared" si="27"/>
        <v/>
      </c>
      <c r="F343" s="2" t="str">
        <f t="shared" si="27"/>
        <v/>
      </c>
      <c r="G343" s="2" t="str">
        <f t="shared" si="28"/>
        <v/>
      </c>
      <c r="H343" s="2" t="str">
        <f t="shared" si="29"/>
        <v/>
      </c>
    </row>
    <row r="344" spans="3:8" x14ac:dyDescent="0.25">
      <c r="C344" s="2" t="str">
        <f t="shared" si="26"/>
        <v/>
      </c>
      <c r="D344" s="2" t="str">
        <f t="shared" si="26"/>
        <v/>
      </c>
      <c r="E344" s="2" t="str">
        <f t="shared" si="27"/>
        <v/>
      </c>
      <c r="F344" s="2" t="str">
        <f t="shared" si="27"/>
        <v/>
      </c>
      <c r="G344" s="2" t="str">
        <f t="shared" si="28"/>
        <v/>
      </c>
      <c r="H344" s="2" t="str">
        <f t="shared" si="29"/>
        <v/>
      </c>
    </row>
    <row r="345" spans="3:8" x14ac:dyDescent="0.25">
      <c r="C345" s="2" t="str">
        <f t="shared" si="26"/>
        <v/>
      </c>
      <c r="D345" s="2" t="str">
        <f t="shared" si="26"/>
        <v/>
      </c>
      <c r="E345" s="2" t="str">
        <f t="shared" si="27"/>
        <v/>
      </c>
      <c r="F345" s="2" t="str">
        <f t="shared" si="27"/>
        <v/>
      </c>
      <c r="G345" s="2" t="str">
        <f t="shared" si="28"/>
        <v/>
      </c>
      <c r="H345" s="2" t="str">
        <f t="shared" si="29"/>
        <v/>
      </c>
    </row>
    <row r="346" spans="3:8" x14ac:dyDescent="0.25">
      <c r="C346" s="2" t="str">
        <f t="shared" si="26"/>
        <v/>
      </c>
      <c r="D346" s="2" t="str">
        <f t="shared" si="26"/>
        <v/>
      </c>
      <c r="E346" s="2" t="str">
        <f t="shared" si="27"/>
        <v/>
      </c>
      <c r="F346" s="2" t="str">
        <f t="shared" si="27"/>
        <v/>
      </c>
      <c r="G346" s="2" t="str">
        <f t="shared" si="28"/>
        <v/>
      </c>
      <c r="H346" s="2" t="str">
        <f t="shared" si="29"/>
        <v/>
      </c>
    </row>
    <row r="347" spans="3:8" x14ac:dyDescent="0.25">
      <c r="C347" s="2" t="str">
        <f t="shared" si="26"/>
        <v/>
      </c>
      <c r="D347" s="2" t="str">
        <f t="shared" si="26"/>
        <v/>
      </c>
      <c r="E347" s="2" t="str">
        <f t="shared" si="27"/>
        <v/>
      </c>
      <c r="F347" s="2" t="str">
        <f t="shared" si="27"/>
        <v/>
      </c>
      <c r="G347" s="2" t="str">
        <f t="shared" si="28"/>
        <v/>
      </c>
      <c r="H347" s="2" t="str">
        <f t="shared" si="29"/>
        <v/>
      </c>
    </row>
    <row r="348" spans="3:8" x14ac:dyDescent="0.25">
      <c r="C348" s="2" t="str">
        <f t="shared" si="26"/>
        <v/>
      </c>
      <c r="D348" s="2" t="str">
        <f t="shared" si="26"/>
        <v/>
      </c>
      <c r="E348" s="2" t="str">
        <f t="shared" si="27"/>
        <v/>
      </c>
      <c r="F348" s="2" t="str">
        <f t="shared" si="27"/>
        <v/>
      </c>
      <c r="G348" s="2" t="str">
        <f t="shared" si="28"/>
        <v/>
      </c>
      <c r="H348" s="2" t="str">
        <f t="shared" si="29"/>
        <v/>
      </c>
    </row>
    <row r="349" spans="3:8" x14ac:dyDescent="0.25">
      <c r="C349" s="2" t="str">
        <f t="shared" si="26"/>
        <v/>
      </c>
      <c r="D349" s="2" t="str">
        <f t="shared" si="26"/>
        <v/>
      </c>
      <c r="E349" s="2" t="str">
        <f t="shared" si="27"/>
        <v/>
      </c>
      <c r="F349" s="2" t="str">
        <f t="shared" si="27"/>
        <v/>
      </c>
      <c r="G349" s="2" t="str">
        <f t="shared" si="28"/>
        <v/>
      </c>
      <c r="H349" s="2" t="str">
        <f t="shared" si="29"/>
        <v/>
      </c>
    </row>
    <row r="350" spans="3:8" x14ac:dyDescent="0.25">
      <c r="C350" s="2" t="str">
        <f t="shared" si="26"/>
        <v/>
      </c>
      <c r="D350" s="2" t="str">
        <f t="shared" si="26"/>
        <v/>
      </c>
      <c r="E350" s="2" t="str">
        <f t="shared" si="27"/>
        <v/>
      </c>
      <c r="F350" s="2" t="str">
        <f t="shared" si="27"/>
        <v/>
      </c>
      <c r="G350" s="2" t="str">
        <f t="shared" si="28"/>
        <v/>
      </c>
      <c r="H350" s="2" t="str">
        <f t="shared" si="29"/>
        <v/>
      </c>
    </row>
    <row r="351" spans="3:8" x14ac:dyDescent="0.25">
      <c r="C351" s="2" t="str">
        <f t="shared" si="26"/>
        <v/>
      </c>
      <c r="D351" s="2" t="str">
        <f t="shared" si="26"/>
        <v/>
      </c>
      <c r="E351" s="2" t="str">
        <f t="shared" si="27"/>
        <v/>
      </c>
      <c r="F351" s="2" t="str">
        <f t="shared" si="27"/>
        <v/>
      </c>
      <c r="G351" s="2" t="str">
        <f t="shared" si="28"/>
        <v/>
      </c>
      <c r="H351" s="2" t="str">
        <f t="shared" si="29"/>
        <v/>
      </c>
    </row>
    <row r="352" spans="3:8" x14ac:dyDescent="0.25">
      <c r="C352" s="2" t="str">
        <f t="shared" si="26"/>
        <v/>
      </c>
      <c r="D352" s="2" t="str">
        <f t="shared" si="26"/>
        <v/>
      </c>
      <c r="E352" s="2" t="str">
        <f t="shared" si="27"/>
        <v/>
      </c>
      <c r="F352" s="2" t="str">
        <f t="shared" si="27"/>
        <v/>
      </c>
      <c r="G352" s="2" t="str">
        <f t="shared" si="28"/>
        <v/>
      </c>
      <c r="H352" s="2" t="str">
        <f t="shared" si="29"/>
        <v/>
      </c>
    </row>
    <row r="353" spans="3:8" x14ac:dyDescent="0.25">
      <c r="C353" s="2" t="str">
        <f t="shared" si="26"/>
        <v/>
      </c>
      <c r="D353" s="2" t="str">
        <f t="shared" si="26"/>
        <v/>
      </c>
      <c r="E353" s="2" t="str">
        <f t="shared" si="27"/>
        <v/>
      </c>
      <c r="F353" s="2" t="str">
        <f t="shared" si="27"/>
        <v/>
      </c>
      <c r="G353" s="2" t="str">
        <f t="shared" si="28"/>
        <v/>
      </c>
      <c r="H353" s="2" t="str">
        <f t="shared" si="29"/>
        <v/>
      </c>
    </row>
    <row r="354" spans="3:8" x14ac:dyDescent="0.25">
      <c r="C354" s="2" t="str">
        <f t="shared" si="26"/>
        <v/>
      </c>
      <c r="D354" s="2" t="str">
        <f t="shared" si="26"/>
        <v/>
      </c>
      <c r="E354" s="2" t="str">
        <f t="shared" si="27"/>
        <v/>
      </c>
      <c r="F354" s="2" t="str">
        <f t="shared" si="27"/>
        <v/>
      </c>
      <c r="G354" s="2" t="str">
        <f t="shared" si="28"/>
        <v/>
      </c>
      <c r="H354" s="2" t="str">
        <f t="shared" si="29"/>
        <v/>
      </c>
    </row>
    <row r="355" spans="3:8" x14ac:dyDescent="0.25">
      <c r="C355" s="2" t="str">
        <f t="shared" si="26"/>
        <v/>
      </c>
      <c r="D355" s="2" t="str">
        <f t="shared" si="26"/>
        <v/>
      </c>
      <c r="E355" s="2" t="str">
        <f t="shared" si="27"/>
        <v/>
      </c>
      <c r="F355" s="2" t="str">
        <f t="shared" si="27"/>
        <v/>
      </c>
      <c r="G355" s="2" t="str">
        <f t="shared" si="28"/>
        <v/>
      </c>
      <c r="H355" s="2" t="str">
        <f t="shared" si="29"/>
        <v/>
      </c>
    </row>
    <row r="356" spans="3:8" x14ac:dyDescent="0.25">
      <c r="C356" s="2" t="str">
        <f t="shared" si="26"/>
        <v/>
      </c>
      <c r="D356" s="2" t="str">
        <f t="shared" si="26"/>
        <v/>
      </c>
      <c r="E356" s="2" t="str">
        <f t="shared" si="27"/>
        <v/>
      </c>
      <c r="F356" s="2" t="str">
        <f t="shared" si="27"/>
        <v/>
      </c>
      <c r="G356" s="2" t="str">
        <f t="shared" si="28"/>
        <v/>
      </c>
      <c r="H356" s="2" t="str">
        <f t="shared" si="29"/>
        <v/>
      </c>
    </row>
    <row r="357" spans="3:8" x14ac:dyDescent="0.25">
      <c r="C357" s="2" t="str">
        <f t="shared" si="26"/>
        <v/>
      </c>
      <c r="D357" s="2" t="str">
        <f t="shared" si="26"/>
        <v/>
      </c>
      <c r="E357" s="2" t="str">
        <f t="shared" si="27"/>
        <v/>
      </c>
      <c r="F357" s="2" t="str">
        <f t="shared" si="27"/>
        <v/>
      </c>
      <c r="G357" s="2" t="str">
        <f t="shared" si="28"/>
        <v/>
      </c>
      <c r="H357" s="2" t="str">
        <f t="shared" si="29"/>
        <v/>
      </c>
    </row>
    <row r="358" spans="3:8" x14ac:dyDescent="0.25">
      <c r="C358" s="2" t="str">
        <f t="shared" si="26"/>
        <v/>
      </c>
      <c r="D358" s="2" t="str">
        <f t="shared" si="26"/>
        <v/>
      </c>
      <c r="E358" s="2" t="str">
        <f t="shared" si="27"/>
        <v/>
      </c>
      <c r="F358" s="2" t="str">
        <f t="shared" si="27"/>
        <v/>
      </c>
      <c r="G358" s="2" t="str">
        <f t="shared" si="28"/>
        <v/>
      </c>
      <c r="H358" s="2" t="str">
        <f t="shared" si="29"/>
        <v/>
      </c>
    </row>
    <row r="359" spans="3:8" x14ac:dyDescent="0.25">
      <c r="C359" s="2" t="str">
        <f t="shared" si="26"/>
        <v/>
      </c>
      <c r="D359" s="2" t="str">
        <f t="shared" si="26"/>
        <v/>
      </c>
      <c r="E359" s="2" t="str">
        <f t="shared" si="27"/>
        <v/>
      </c>
      <c r="F359" s="2" t="str">
        <f t="shared" si="27"/>
        <v/>
      </c>
      <c r="G359" s="2" t="str">
        <f t="shared" si="28"/>
        <v/>
      </c>
      <c r="H359" s="2" t="str">
        <f t="shared" si="29"/>
        <v/>
      </c>
    </row>
    <row r="360" spans="3:8" x14ac:dyDescent="0.25">
      <c r="C360" s="2" t="str">
        <f t="shared" si="26"/>
        <v/>
      </c>
      <c r="D360" s="2" t="str">
        <f t="shared" si="26"/>
        <v/>
      </c>
      <c r="E360" s="2" t="str">
        <f t="shared" si="27"/>
        <v/>
      </c>
      <c r="F360" s="2" t="str">
        <f t="shared" si="27"/>
        <v/>
      </c>
      <c r="G360" s="2" t="str">
        <f t="shared" si="28"/>
        <v/>
      </c>
      <c r="H360" s="2" t="str">
        <f t="shared" si="29"/>
        <v/>
      </c>
    </row>
    <row r="361" spans="3:8" x14ac:dyDescent="0.25">
      <c r="C361" s="2" t="str">
        <f t="shared" si="26"/>
        <v/>
      </c>
      <c r="D361" s="2" t="str">
        <f t="shared" si="26"/>
        <v/>
      </c>
      <c r="E361" s="2" t="str">
        <f t="shared" si="27"/>
        <v/>
      </c>
      <c r="F361" s="2" t="str">
        <f t="shared" si="27"/>
        <v/>
      </c>
      <c r="G361" s="2" t="str">
        <f t="shared" si="28"/>
        <v/>
      </c>
      <c r="H361" s="2" t="str">
        <f t="shared" si="29"/>
        <v/>
      </c>
    </row>
    <row r="362" spans="3:8" x14ac:dyDescent="0.25">
      <c r="C362" s="2" t="str">
        <f t="shared" si="26"/>
        <v/>
      </c>
      <c r="D362" s="2" t="str">
        <f t="shared" si="26"/>
        <v/>
      </c>
      <c r="E362" s="2" t="str">
        <f t="shared" si="27"/>
        <v/>
      </c>
      <c r="F362" s="2" t="str">
        <f t="shared" si="27"/>
        <v/>
      </c>
      <c r="G362" s="2" t="str">
        <f t="shared" si="28"/>
        <v/>
      </c>
      <c r="H362" s="2" t="str">
        <f t="shared" si="29"/>
        <v/>
      </c>
    </row>
    <row r="363" spans="3:8" x14ac:dyDescent="0.25">
      <c r="C363" s="2" t="str">
        <f t="shared" si="26"/>
        <v/>
      </c>
      <c r="D363" s="2" t="str">
        <f t="shared" si="26"/>
        <v/>
      </c>
      <c r="E363" s="2" t="str">
        <f t="shared" si="27"/>
        <v/>
      </c>
      <c r="F363" s="2" t="str">
        <f t="shared" si="27"/>
        <v/>
      </c>
      <c r="G363" s="2" t="str">
        <f t="shared" si="28"/>
        <v/>
      </c>
      <c r="H363" s="2" t="str">
        <f t="shared" si="29"/>
        <v/>
      </c>
    </row>
    <row r="364" spans="3:8" x14ac:dyDescent="0.25">
      <c r="C364" s="2" t="str">
        <f t="shared" si="26"/>
        <v/>
      </c>
      <c r="D364" s="2" t="str">
        <f t="shared" si="26"/>
        <v/>
      </c>
      <c r="E364" s="2" t="str">
        <f t="shared" si="27"/>
        <v/>
      </c>
      <c r="F364" s="2" t="str">
        <f t="shared" si="27"/>
        <v/>
      </c>
      <c r="G364" s="2" t="str">
        <f t="shared" si="28"/>
        <v/>
      </c>
      <c r="H364" s="2" t="str">
        <f t="shared" si="29"/>
        <v/>
      </c>
    </row>
    <row r="365" spans="3:8" x14ac:dyDescent="0.25">
      <c r="C365" s="2" t="str">
        <f t="shared" si="26"/>
        <v/>
      </c>
      <c r="D365" s="2" t="str">
        <f t="shared" si="26"/>
        <v/>
      </c>
      <c r="E365" s="2" t="str">
        <f t="shared" si="27"/>
        <v/>
      </c>
      <c r="F365" s="2" t="str">
        <f t="shared" si="27"/>
        <v/>
      </c>
      <c r="G365" s="2" t="str">
        <f t="shared" si="28"/>
        <v/>
      </c>
      <c r="H365" s="2" t="str">
        <f t="shared" si="29"/>
        <v/>
      </c>
    </row>
    <row r="366" spans="3:8" x14ac:dyDescent="0.25">
      <c r="C366" s="2" t="str">
        <f t="shared" si="26"/>
        <v/>
      </c>
      <c r="D366" s="2" t="str">
        <f t="shared" si="26"/>
        <v/>
      </c>
      <c r="E366" s="2" t="str">
        <f t="shared" si="27"/>
        <v/>
      </c>
      <c r="F366" s="2" t="str">
        <f t="shared" si="27"/>
        <v/>
      </c>
      <c r="G366" s="2" t="str">
        <f t="shared" si="28"/>
        <v/>
      </c>
      <c r="H366" s="2" t="str">
        <f t="shared" si="29"/>
        <v/>
      </c>
    </row>
    <row r="367" spans="3:8" x14ac:dyDescent="0.25">
      <c r="C367" s="2" t="str">
        <f t="shared" si="26"/>
        <v/>
      </c>
      <c r="D367" s="2" t="str">
        <f t="shared" si="26"/>
        <v/>
      </c>
      <c r="E367" s="2" t="str">
        <f t="shared" si="27"/>
        <v/>
      </c>
      <c r="F367" s="2" t="str">
        <f t="shared" si="27"/>
        <v/>
      </c>
      <c r="G367" s="2" t="str">
        <f t="shared" si="28"/>
        <v/>
      </c>
      <c r="H367" s="2" t="str">
        <f t="shared" si="29"/>
        <v/>
      </c>
    </row>
    <row r="368" spans="3:8" x14ac:dyDescent="0.25">
      <c r="C368" s="2" t="str">
        <f t="shared" si="26"/>
        <v/>
      </c>
      <c r="D368" s="2" t="str">
        <f t="shared" si="26"/>
        <v/>
      </c>
      <c r="E368" s="2" t="str">
        <f t="shared" si="27"/>
        <v/>
      </c>
      <c r="F368" s="2" t="str">
        <f t="shared" si="27"/>
        <v/>
      </c>
      <c r="G368" s="2" t="str">
        <f t="shared" si="28"/>
        <v/>
      </c>
      <c r="H368" s="2" t="str">
        <f t="shared" si="29"/>
        <v/>
      </c>
    </row>
    <row r="369" spans="3:8" x14ac:dyDescent="0.25">
      <c r="C369" s="2" t="str">
        <f t="shared" si="26"/>
        <v/>
      </c>
      <c r="D369" s="2" t="str">
        <f t="shared" si="26"/>
        <v/>
      </c>
      <c r="E369" s="2" t="str">
        <f t="shared" si="27"/>
        <v/>
      </c>
      <c r="F369" s="2" t="str">
        <f t="shared" si="27"/>
        <v/>
      </c>
      <c r="G369" s="2" t="str">
        <f t="shared" si="28"/>
        <v/>
      </c>
      <c r="H369" s="2" t="str">
        <f t="shared" si="29"/>
        <v/>
      </c>
    </row>
    <row r="370" spans="3:8" x14ac:dyDescent="0.25">
      <c r="C370" s="2" t="str">
        <f t="shared" si="26"/>
        <v/>
      </c>
      <c r="D370" s="2" t="str">
        <f t="shared" si="26"/>
        <v/>
      </c>
      <c r="E370" s="2" t="str">
        <f t="shared" si="27"/>
        <v/>
      </c>
      <c r="F370" s="2" t="str">
        <f t="shared" si="27"/>
        <v/>
      </c>
      <c r="G370" s="2" t="str">
        <f t="shared" si="28"/>
        <v/>
      </c>
      <c r="H370" s="2" t="str">
        <f t="shared" si="29"/>
        <v/>
      </c>
    </row>
    <row r="371" spans="3:8" x14ac:dyDescent="0.25">
      <c r="C371" s="2" t="str">
        <f t="shared" si="26"/>
        <v/>
      </c>
      <c r="D371" s="2" t="str">
        <f t="shared" si="26"/>
        <v/>
      </c>
      <c r="E371" s="2" t="str">
        <f t="shared" si="27"/>
        <v/>
      </c>
      <c r="F371" s="2" t="str">
        <f t="shared" si="27"/>
        <v/>
      </c>
      <c r="G371" s="2" t="str">
        <f t="shared" si="28"/>
        <v/>
      </c>
      <c r="H371" s="2" t="str">
        <f t="shared" si="29"/>
        <v/>
      </c>
    </row>
    <row r="372" spans="3:8" x14ac:dyDescent="0.25">
      <c r="C372" s="2" t="str">
        <f t="shared" ref="C372:D435" si="30">IF(AND($A372&lt;&gt;"",$B372&lt;&gt;""),A372,"")</f>
        <v/>
      </c>
      <c r="D372" s="2" t="str">
        <f t="shared" si="30"/>
        <v/>
      </c>
      <c r="E372" s="2" t="str">
        <f t="shared" si="27"/>
        <v/>
      </c>
      <c r="F372" s="2" t="str">
        <f t="shared" si="27"/>
        <v/>
      </c>
      <c r="G372" s="2" t="str">
        <f t="shared" si="28"/>
        <v/>
      </c>
      <c r="H372" s="2" t="str">
        <f t="shared" si="29"/>
        <v/>
      </c>
    </row>
    <row r="373" spans="3:8" x14ac:dyDescent="0.25">
      <c r="C373" s="2" t="str">
        <f t="shared" si="30"/>
        <v/>
      </c>
      <c r="D373" s="2" t="str">
        <f t="shared" si="30"/>
        <v/>
      </c>
      <c r="E373" s="2" t="str">
        <f t="shared" si="27"/>
        <v/>
      </c>
      <c r="F373" s="2" t="str">
        <f t="shared" si="27"/>
        <v/>
      </c>
      <c r="G373" s="2" t="str">
        <f t="shared" si="28"/>
        <v/>
      </c>
      <c r="H373" s="2" t="str">
        <f t="shared" si="29"/>
        <v/>
      </c>
    </row>
    <row r="374" spans="3:8" x14ac:dyDescent="0.25">
      <c r="C374" s="2" t="str">
        <f t="shared" si="30"/>
        <v/>
      </c>
      <c r="D374" s="2" t="str">
        <f t="shared" si="30"/>
        <v/>
      </c>
      <c r="E374" s="2" t="str">
        <f t="shared" si="27"/>
        <v/>
      </c>
      <c r="F374" s="2" t="str">
        <f t="shared" si="27"/>
        <v/>
      </c>
      <c r="G374" s="2" t="str">
        <f t="shared" si="28"/>
        <v/>
      </c>
      <c r="H374" s="2" t="str">
        <f t="shared" si="29"/>
        <v/>
      </c>
    </row>
    <row r="375" spans="3:8" x14ac:dyDescent="0.25">
      <c r="C375" s="2" t="str">
        <f t="shared" si="30"/>
        <v/>
      </c>
      <c r="D375" s="2" t="str">
        <f t="shared" si="30"/>
        <v/>
      </c>
      <c r="E375" s="2" t="str">
        <f t="shared" si="27"/>
        <v/>
      </c>
      <c r="F375" s="2" t="str">
        <f t="shared" si="27"/>
        <v/>
      </c>
      <c r="G375" s="2" t="str">
        <f t="shared" si="28"/>
        <v/>
      </c>
      <c r="H375" s="2" t="str">
        <f t="shared" si="29"/>
        <v/>
      </c>
    </row>
    <row r="376" spans="3:8" x14ac:dyDescent="0.25">
      <c r="C376" s="2" t="str">
        <f t="shared" si="30"/>
        <v/>
      </c>
      <c r="D376" s="2" t="str">
        <f t="shared" si="30"/>
        <v/>
      </c>
      <c r="E376" s="2" t="str">
        <f t="shared" si="27"/>
        <v/>
      </c>
      <c r="F376" s="2" t="str">
        <f t="shared" si="27"/>
        <v/>
      </c>
      <c r="G376" s="2" t="str">
        <f t="shared" si="28"/>
        <v/>
      </c>
      <c r="H376" s="2" t="str">
        <f t="shared" si="29"/>
        <v/>
      </c>
    </row>
    <row r="377" spans="3:8" x14ac:dyDescent="0.25">
      <c r="C377" s="2" t="str">
        <f t="shared" si="30"/>
        <v/>
      </c>
      <c r="D377" s="2" t="str">
        <f t="shared" si="30"/>
        <v/>
      </c>
      <c r="E377" s="2" t="str">
        <f t="shared" si="27"/>
        <v/>
      </c>
      <c r="F377" s="2" t="str">
        <f t="shared" si="27"/>
        <v/>
      </c>
      <c r="G377" s="2" t="str">
        <f t="shared" si="28"/>
        <v/>
      </c>
      <c r="H377" s="2" t="str">
        <f t="shared" si="29"/>
        <v/>
      </c>
    </row>
    <row r="378" spans="3:8" x14ac:dyDescent="0.25">
      <c r="C378" s="2" t="str">
        <f t="shared" si="30"/>
        <v/>
      </c>
      <c r="D378" s="2" t="str">
        <f t="shared" si="30"/>
        <v/>
      </c>
      <c r="E378" s="2" t="str">
        <f t="shared" si="27"/>
        <v/>
      </c>
      <c r="F378" s="2" t="str">
        <f t="shared" si="27"/>
        <v/>
      </c>
      <c r="G378" s="2" t="str">
        <f t="shared" si="28"/>
        <v/>
      </c>
      <c r="H378" s="2" t="str">
        <f t="shared" si="29"/>
        <v/>
      </c>
    </row>
    <row r="379" spans="3:8" x14ac:dyDescent="0.25">
      <c r="C379" s="2" t="str">
        <f t="shared" si="30"/>
        <v/>
      </c>
      <c r="D379" s="2" t="str">
        <f t="shared" si="30"/>
        <v/>
      </c>
      <c r="E379" s="2" t="str">
        <f t="shared" si="27"/>
        <v/>
      </c>
      <c r="F379" s="2" t="str">
        <f t="shared" si="27"/>
        <v/>
      </c>
      <c r="G379" s="2" t="str">
        <f t="shared" si="28"/>
        <v/>
      </c>
      <c r="H379" s="2" t="str">
        <f t="shared" si="29"/>
        <v/>
      </c>
    </row>
    <row r="380" spans="3:8" x14ac:dyDescent="0.25">
      <c r="C380" s="2" t="str">
        <f t="shared" si="30"/>
        <v/>
      </c>
      <c r="D380" s="2" t="str">
        <f t="shared" si="30"/>
        <v/>
      </c>
      <c r="E380" s="2" t="str">
        <f t="shared" si="27"/>
        <v/>
      </c>
      <c r="F380" s="2" t="str">
        <f t="shared" si="27"/>
        <v/>
      </c>
      <c r="G380" s="2" t="str">
        <f t="shared" si="28"/>
        <v/>
      </c>
      <c r="H380" s="2" t="str">
        <f t="shared" si="29"/>
        <v/>
      </c>
    </row>
    <row r="381" spans="3:8" x14ac:dyDescent="0.25">
      <c r="C381" s="2" t="str">
        <f t="shared" si="30"/>
        <v/>
      </c>
      <c r="D381" s="2" t="str">
        <f t="shared" si="30"/>
        <v/>
      </c>
      <c r="E381" s="2" t="str">
        <f t="shared" si="27"/>
        <v/>
      </c>
      <c r="F381" s="2" t="str">
        <f t="shared" si="27"/>
        <v/>
      </c>
      <c r="G381" s="2" t="str">
        <f t="shared" si="28"/>
        <v/>
      </c>
      <c r="H381" s="2" t="str">
        <f t="shared" si="29"/>
        <v/>
      </c>
    </row>
    <row r="382" spans="3:8" x14ac:dyDescent="0.25">
      <c r="C382" s="2" t="str">
        <f t="shared" si="30"/>
        <v/>
      </c>
      <c r="D382" s="2" t="str">
        <f t="shared" si="30"/>
        <v/>
      </c>
      <c r="E382" s="2" t="str">
        <f t="shared" si="27"/>
        <v/>
      </c>
      <c r="F382" s="2" t="str">
        <f t="shared" si="27"/>
        <v/>
      </c>
      <c r="G382" s="2" t="str">
        <f t="shared" si="28"/>
        <v/>
      </c>
      <c r="H382" s="2" t="str">
        <f t="shared" si="29"/>
        <v/>
      </c>
    </row>
    <row r="383" spans="3:8" x14ac:dyDescent="0.25">
      <c r="C383" s="2" t="str">
        <f t="shared" si="30"/>
        <v/>
      </c>
      <c r="D383" s="2" t="str">
        <f t="shared" si="30"/>
        <v/>
      </c>
      <c r="E383" s="2" t="str">
        <f t="shared" si="27"/>
        <v/>
      </c>
      <c r="F383" s="2" t="str">
        <f t="shared" si="27"/>
        <v/>
      </c>
      <c r="G383" s="2" t="str">
        <f t="shared" si="28"/>
        <v/>
      </c>
      <c r="H383" s="2" t="str">
        <f t="shared" si="29"/>
        <v/>
      </c>
    </row>
    <row r="384" spans="3:8" x14ac:dyDescent="0.25">
      <c r="C384" s="2" t="str">
        <f t="shared" si="30"/>
        <v/>
      </c>
      <c r="D384" s="2" t="str">
        <f t="shared" si="30"/>
        <v/>
      </c>
      <c r="E384" s="2" t="str">
        <f t="shared" si="27"/>
        <v/>
      </c>
      <c r="F384" s="2" t="str">
        <f t="shared" si="27"/>
        <v/>
      </c>
      <c r="G384" s="2" t="str">
        <f t="shared" si="28"/>
        <v/>
      </c>
      <c r="H384" s="2" t="str">
        <f t="shared" si="29"/>
        <v/>
      </c>
    </row>
    <row r="385" spans="3:8" x14ac:dyDescent="0.25">
      <c r="C385" s="2" t="str">
        <f t="shared" si="30"/>
        <v/>
      </c>
      <c r="D385" s="2" t="str">
        <f t="shared" si="30"/>
        <v/>
      </c>
      <c r="E385" s="2" t="str">
        <f t="shared" si="27"/>
        <v/>
      </c>
      <c r="F385" s="2" t="str">
        <f t="shared" si="27"/>
        <v/>
      </c>
      <c r="G385" s="2" t="str">
        <f t="shared" si="28"/>
        <v/>
      </c>
      <c r="H385" s="2" t="str">
        <f t="shared" si="29"/>
        <v/>
      </c>
    </row>
    <row r="386" spans="3:8" x14ac:dyDescent="0.25">
      <c r="C386" s="2" t="str">
        <f t="shared" si="30"/>
        <v/>
      </c>
      <c r="D386" s="2" t="str">
        <f t="shared" si="30"/>
        <v/>
      </c>
      <c r="E386" s="2" t="str">
        <f t="shared" si="27"/>
        <v/>
      </c>
      <c r="F386" s="2" t="str">
        <f t="shared" si="27"/>
        <v/>
      </c>
      <c r="G386" s="2" t="str">
        <f t="shared" si="28"/>
        <v/>
      </c>
      <c r="H386" s="2" t="str">
        <f t="shared" si="29"/>
        <v/>
      </c>
    </row>
    <row r="387" spans="3:8" x14ac:dyDescent="0.25">
      <c r="C387" s="2" t="str">
        <f t="shared" si="30"/>
        <v/>
      </c>
      <c r="D387" s="2" t="str">
        <f t="shared" si="30"/>
        <v/>
      </c>
      <c r="E387" s="2" t="str">
        <f t="shared" ref="E387:F450" si="31">IF(C387="","",_xlfn.RANK.AVG(C387,C$2:C$468,1))</f>
        <v/>
      </c>
      <c r="F387" s="2" t="str">
        <f t="shared" si="31"/>
        <v/>
      </c>
      <c r="G387" s="2" t="str">
        <f t="shared" ref="G387:G450" si="32">IF(C387="","",E387-F387)</f>
        <v/>
      </c>
      <c r="H387" s="2" t="str">
        <f t="shared" ref="H387:H450" si="33">IF(C387="","",G387^2)</f>
        <v/>
      </c>
    </row>
    <row r="388" spans="3:8" x14ac:dyDescent="0.25">
      <c r="C388" s="2" t="str">
        <f t="shared" si="30"/>
        <v/>
      </c>
      <c r="D388" s="2" t="str">
        <f t="shared" si="30"/>
        <v/>
      </c>
      <c r="E388" s="2" t="str">
        <f t="shared" si="31"/>
        <v/>
      </c>
      <c r="F388" s="2" t="str">
        <f t="shared" si="31"/>
        <v/>
      </c>
      <c r="G388" s="2" t="str">
        <f t="shared" si="32"/>
        <v/>
      </c>
      <c r="H388" s="2" t="str">
        <f t="shared" si="33"/>
        <v/>
      </c>
    </row>
    <row r="389" spans="3:8" x14ac:dyDescent="0.25">
      <c r="C389" s="2" t="str">
        <f t="shared" si="30"/>
        <v/>
      </c>
      <c r="D389" s="2" t="str">
        <f t="shared" si="30"/>
        <v/>
      </c>
      <c r="E389" s="2" t="str">
        <f t="shared" si="31"/>
        <v/>
      </c>
      <c r="F389" s="2" t="str">
        <f t="shared" si="31"/>
        <v/>
      </c>
      <c r="G389" s="2" t="str">
        <f t="shared" si="32"/>
        <v/>
      </c>
      <c r="H389" s="2" t="str">
        <f t="shared" si="33"/>
        <v/>
      </c>
    </row>
    <row r="390" spans="3:8" x14ac:dyDescent="0.25">
      <c r="C390" s="2" t="str">
        <f t="shared" si="30"/>
        <v/>
      </c>
      <c r="D390" s="2" t="str">
        <f t="shared" si="30"/>
        <v/>
      </c>
      <c r="E390" s="2" t="str">
        <f t="shared" si="31"/>
        <v/>
      </c>
      <c r="F390" s="2" t="str">
        <f t="shared" si="31"/>
        <v/>
      </c>
      <c r="G390" s="2" t="str">
        <f t="shared" si="32"/>
        <v/>
      </c>
      <c r="H390" s="2" t="str">
        <f t="shared" si="33"/>
        <v/>
      </c>
    </row>
    <row r="391" spans="3:8" x14ac:dyDescent="0.25">
      <c r="C391" s="2" t="str">
        <f t="shared" si="30"/>
        <v/>
      </c>
      <c r="D391" s="2" t="str">
        <f t="shared" si="30"/>
        <v/>
      </c>
      <c r="E391" s="2" t="str">
        <f t="shared" si="31"/>
        <v/>
      </c>
      <c r="F391" s="2" t="str">
        <f t="shared" si="31"/>
        <v/>
      </c>
      <c r="G391" s="2" t="str">
        <f t="shared" si="32"/>
        <v/>
      </c>
      <c r="H391" s="2" t="str">
        <f t="shared" si="33"/>
        <v/>
      </c>
    </row>
    <row r="392" spans="3:8" x14ac:dyDescent="0.25">
      <c r="C392" s="2" t="str">
        <f t="shared" si="30"/>
        <v/>
      </c>
      <c r="D392" s="2" t="str">
        <f t="shared" si="30"/>
        <v/>
      </c>
      <c r="E392" s="2" t="str">
        <f t="shared" si="31"/>
        <v/>
      </c>
      <c r="F392" s="2" t="str">
        <f t="shared" si="31"/>
        <v/>
      </c>
      <c r="G392" s="2" t="str">
        <f t="shared" si="32"/>
        <v/>
      </c>
      <c r="H392" s="2" t="str">
        <f t="shared" si="33"/>
        <v/>
      </c>
    </row>
    <row r="393" spans="3:8" x14ac:dyDescent="0.25">
      <c r="C393" s="2" t="str">
        <f t="shared" si="30"/>
        <v/>
      </c>
      <c r="D393" s="2" t="str">
        <f t="shared" si="30"/>
        <v/>
      </c>
      <c r="E393" s="2" t="str">
        <f t="shared" si="31"/>
        <v/>
      </c>
      <c r="F393" s="2" t="str">
        <f t="shared" si="31"/>
        <v/>
      </c>
      <c r="G393" s="2" t="str">
        <f t="shared" si="32"/>
        <v/>
      </c>
      <c r="H393" s="2" t="str">
        <f t="shared" si="33"/>
        <v/>
      </c>
    </row>
    <row r="394" spans="3:8" x14ac:dyDescent="0.25">
      <c r="C394" s="2" t="str">
        <f t="shared" si="30"/>
        <v/>
      </c>
      <c r="D394" s="2" t="str">
        <f t="shared" si="30"/>
        <v/>
      </c>
      <c r="E394" s="2" t="str">
        <f t="shared" si="31"/>
        <v/>
      </c>
      <c r="F394" s="2" t="str">
        <f t="shared" si="31"/>
        <v/>
      </c>
      <c r="G394" s="2" t="str">
        <f t="shared" si="32"/>
        <v/>
      </c>
      <c r="H394" s="2" t="str">
        <f t="shared" si="33"/>
        <v/>
      </c>
    </row>
    <row r="395" spans="3:8" x14ac:dyDescent="0.25">
      <c r="C395" s="2" t="str">
        <f t="shared" si="30"/>
        <v/>
      </c>
      <c r="D395" s="2" t="str">
        <f t="shared" si="30"/>
        <v/>
      </c>
      <c r="E395" s="2" t="str">
        <f t="shared" si="31"/>
        <v/>
      </c>
      <c r="F395" s="2" t="str">
        <f t="shared" si="31"/>
        <v/>
      </c>
      <c r="G395" s="2" t="str">
        <f t="shared" si="32"/>
        <v/>
      </c>
      <c r="H395" s="2" t="str">
        <f t="shared" si="33"/>
        <v/>
      </c>
    </row>
    <row r="396" spans="3:8" x14ac:dyDescent="0.25">
      <c r="C396" s="2" t="str">
        <f t="shared" si="30"/>
        <v/>
      </c>
      <c r="D396" s="2" t="str">
        <f t="shared" si="30"/>
        <v/>
      </c>
      <c r="E396" s="2" t="str">
        <f t="shared" si="31"/>
        <v/>
      </c>
      <c r="F396" s="2" t="str">
        <f t="shared" si="31"/>
        <v/>
      </c>
      <c r="G396" s="2" t="str">
        <f t="shared" si="32"/>
        <v/>
      </c>
      <c r="H396" s="2" t="str">
        <f t="shared" si="33"/>
        <v/>
      </c>
    </row>
    <row r="397" spans="3:8" x14ac:dyDescent="0.25">
      <c r="C397" s="2" t="str">
        <f t="shared" si="30"/>
        <v/>
      </c>
      <c r="D397" s="2" t="str">
        <f t="shared" si="30"/>
        <v/>
      </c>
      <c r="E397" s="2" t="str">
        <f t="shared" si="31"/>
        <v/>
      </c>
      <c r="F397" s="2" t="str">
        <f t="shared" si="31"/>
        <v/>
      </c>
      <c r="G397" s="2" t="str">
        <f t="shared" si="32"/>
        <v/>
      </c>
      <c r="H397" s="2" t="str">
        <f t="shared" si="33"/>
        <v/>
      </c>
    </row>
    <row r="398" spans="3:8" x14ac:dyDescent="0.25">
      <c r="C398" s="2" t="str">
        <f t="shared" si="30"/>
        <v/>
      </c>
      <c r="D398" s="2" t="str">
        <f t="shared" si="30"/>
        <v/>
      </c>
      <c r="E398" s="2" t="str">
        <f t="shared" si="31"/>
        <v/>
      </c>
      <c r="F398" s="2" t="str">
        <f t="shared" si="31"/>
        <v/>
      </c>
      <c r="G398" s="2" t="str">
        <f t="shared" si="32"/>
        <v/>
      </c>
      <c r="H398" s="2" t="str">
        <f t="shared" si="33"/>
        <v/>
      </c>
    </row>
    <row r="399" spans="3:8" x14ac:dyDescent="0.25">
      <c r="C399" s="2" t="str">
        <f t="shared" si="30"/>
        <v/>
      </c>
      <c r="D399" s="2" t="str">
        <f t="shared" si="30"/>
        <v/>
      </c>
      <c r="E399" s="2" t="str">
        <f t="shared" si="31"/>
        <v/>
      </c>
      <c r="F399" s="2" t="str">
        <f t="shared" si="31"/>
        <v/>
      </c>
      <c r="G399" s="2" t="str">
        <f t="shared" si="32"/>
        <v/>
      </c>
      <c r="H399" s="2" t="str">
        <f t="shared" si="33"/>
        <v/>
      </c>
    </row>
    <row r="400" spans="3:8" x14ac:dyDescent="0.25">
      <c r="C400" s="2" t="str">
        <f t="shared" si="30"/>
        <v/>
      </c>
      <c r="D400" s="2" t="str">
        <f t="shared" si="30"/>
        <v/>
      </c>
      <c r="E400" s="2" t="str">
        <f t="shared" si="31"/>
        <v/>
      </c>
      <c r="F400" s="2" t="str">
        <f t="shared" si="31"/>
        <v/>
      </c>
      <c r="G400" s="2" t="str">
        <f t="shared" si="32"/>
        <v/>
      </c>
      <c r="H400" s="2" t="str">
        <f t="shared" si="33"/>
        <v/>
      </c>
    </row>
    <row r="401" spans="3:8" x14ac:dyDescent="0.25">
      <c r="C401" s="2" t="str">
        <f t="shared" si="30"/>
        <v/>
      </c>
      <c r="D401" s="2" t="str">
        <f t="shared" si="30"/>
        <v/>
      </c>
      <c r="E401" s="2" t="str">
        <f t="shared" si="31"/>
        <v/>
      </c>
      <c r="F401" s="2" t="str">
        <f t="shared" si="31"/>
        <v/>
      </c>
      <c r="G401" s="2" t="str">
        <f t="shared" si="32"/>
        <v/>
      </c>
      <c r="H401" s="2" t="str">
        <f t="shared" si="33"/>
        <v/>
      </c>
    </row>
    <row r="402" spans="3:8" x14ac:dyDescent="0.25">
      <c r="C402" s="2" t="str">
        <f t="shared" si="30"/>
        <v/>
      </c>
      <c r="D402" s="2" t="str">
        <f t="shared" si="30"/>
        <v/>
      </c>
      <c r="E402" s="2" t="str">
        <f t="shared" si="31"/>
        <v/>
      </c>
      <c r="F402" s="2" t="str">
        <f t="shared" si="31"/>
        <v/>
      </c>
      <c r="G402" s="2" t="str">
        <f t="shared" si="32"/>
        <v/>
      </c>
      <c r="H402" s="2" t="str">
        <f t="shared" si="33"/>
        <v/>
      </c>
    </row>
    <row r="403" spans="3:8" x14ac:dyDescent="0.25">
      <c r="C403" s="2" t="str">
        <f t="shared" si="30"/>
        <v/>
      </c>
      <c r="D403" s="2" t="str">
        <f t="shared" si="30"/>
        <v/>
      </c>
      <c r="E403" s="2" t="str">
        <f t="shared" si="31"/>
        <v/>
      </c>
      <c r="F403" s="2" t="str">
        <f t="shared" si="31"/>
        <v/>
      </c>
      <c r="G403" s="2" t="str">
        <f t="shared" si="32"/>
        <v/>
      </c>
      <c r="H403" s="2" t="str">
        <f t="shared" si="33"/>
        <v/>
      </c>
    </row>
    <row r="404" spans="3:8" x14ac:dyDescent="0.25">
      <c r="C404" s="2" t="str">
        <f t="shared" si="30"/>
        <v/>
      </c>
      <c r="D404" s="2" t="str">
        <f t="shared" si="30"/>
        <v/>
      </c>
      <c r="E404" s="2" t="str">
        <f t="shared" si="31"/>
        <v/>
      </c>
      <c r="F404" s="2" t="str">
        <f t="shared" si="31"/>
        <v/>
      </c>
      <c r="G404" s="2" t="str">
        <f t="shared" si="32"/>
        <v/>
      </c>
      <c r="H404" s="2" t="str">
        <f t="shared" si="33"/>
        <v/>
      </c>
    </row>
    <row r="405" spans="3:8" x14ac:dyDescent="0.25">
      <c r="C405" s="2" t="str">
        <f t="shared" si="30"/>
        <v/>
      </c>
      <c r="D405" s="2" t="str">
        <f t="shared" si="30"/>
        <v/>
      </c>
      <c r="E405" s="2" t="str">
        <f t="shared" si="31"/>
        <v/>
      </c>
      <c r="F405" s="2" t="str">
        <f t="shared" si="31"/>
        <v/>
      </c>
      <c r="G405" s="2" t="str">
        <f t="shared" si="32"/>
        <v/>
      </c>
      <c r="H405" s="2" t="str">
        <f t="shared" si="33"/>
        <v/>
      </c>
    </row>
    <row r="406" spans="3:8" x14ac:dyDescent="0.25">
      <c r="C406" s="2" t="str">
        <f t="shared" si="30"/>
        <v/>
      </c>
      <c r="D406" s="2" t="str">
        <f t="shared" si="30"/>
        <v/>
      </c>
      <c r="E406" s="2" t="str">
        <f t="shared" si="31"/>
        <v/>
      </c>
      <c r="F406" s="2" t="str">
        <f t="shared" si="31"/>
        <v/>
      </c>
      <c r="G406" s="2" t="str">
        <f t="shared" si="32"/>
        <v/>
      </c>
      <c r="H406" s="2" t="str">
        <f t="shared" si="33"/>
        <v/>
      </c>
    </row>
    <row r="407" spans="3:8" x14ac:dyDescent="0.25">
      <c r="C407" s="2" t="str">
        <f t="shared" si="30"/>
        <v/>
      </c>
      <c r="D407" s="2" t="str">
        <f t="shared" si="30"/>
        <v/>
      </c>
      <c r="E407" s="2" t="str">
        <f t="shared" si="31"/>
        <v/>
      </c>
      <c r="F407" s="2" t="str">
        <f t="shared" si="31"/>
        <v/>
      </c>
      <c r="G407" s="2" t="str">
        <f t="shared" si="32"/>
        <v/>
      </c>
      <c r="H407" s="2" t="str">
        <f t="shared" si="33"/>
        <v/>
      </c>
    </row>
    <row r="408" spans="3:8" x14ac:dyDescent="0.25">
      <c r="C408" s="2" t="str">
        <f t="shared" si="30"/>
        <v/>
      </c>
      <c r="D408" s="2" t="str">
        <f t="shared" si="30"/>
        <v/>
      </c>
      <c r="E408" s="2" t="str">
        <f t="shared" si="31"/>
        <v/>
      </c>
      <c r="F408" s="2" t="str">
        <f t="shared" si="31"/>
        <v/>
      </c>
      <c r="G408" s="2" t="str">
        <f t="shared" si="32"/>
        <v/>
      </c>
      <c r="H408" s="2" t="str">
        <f t="shared" si="33"/>
        <v/>
      </c>
    </row>
    <row r="409" spans="3:8" x14ac:dyDescent="0.25">
      <c r="C409" s="2" t="str">
        <f t="shared" si="30"/>
        <v/>
      </c>
      <c r="D409" s="2" t="str">
        <f t="shared" si="30"/>
        <v/>
      </c>
      <c r="E409" s="2" t="str">
        <f t="shared" si="31"/>
        <v/>
      </c>
      <c r="F409" s="2" t="str">
        <f t="shared" si="31"/>
        <v/>
      </c>
      <c r="G409" s="2" t="str">
        <f t="shared" si="32"/>
        <v/>
      </c>
      <c r="H409" s="2" t="str">
        <f t="shared" si="33"/>
        <v/>
      </c>
    </row>
    <row r="410" spans="3:8" x14ac:dyDescent="0.25">
      <c r="C410" s="2" t="str">
        <f t="shared" si="30"/>
        <v/>
      </c>
      <c r="D410" s="2" t="str">
        <f t="shared" si="30"/>
        <v/>
      </c>
      <c r="E410" s="2" t="str">
        <f t="shared" si="31"/>
        <v/>
      </c>
      <c r="F410" s="2" t="str">
        <f t="shared" si="31"/>
        <v/>
      </c>
      <c r="G410" s="2" t="str">
        <f t="shared" si="32"/>
        <v/>
      </c>
      <c r="H410" s="2" t="str">
        <f t="shared" si="33"/>
        <v/>
      </c>
    </row>
    <row r="411" spans="3:8" x14ac:dyDescent="0.25">
      <c r="C411" s="2" t="str">
        <f t="shared" si="30"/>
        <v/>
      </c>
      <c r="D411" s="2" t="str">
        <f t="shared" si="30"/>
        <v/>
      </c>
      <c r="E411" s="2" t="str">
        <f t="shared" si="31"/>
        <v/>
      </c>
      <c r="F411" s="2" t="str">
        <f t="shared" si="31"/>
        <v/>
      </c>
      <c r="G411" s="2" t="str">
        <f t="shared" si="32"/>
        <v/>
      </c>
      <c r="H411" s="2" t="str">
        <f t="shared" si="33"/>
        <v/>
      </c>
    </row>
    <row r="412" spans="3:8" x14ac:dyDescent="0.25">
      <c r="C412" s="2" t="str">
        <f t="shared" si="30"/>
        <v/>
      </c>
      <c r="D412" s="2" t="str">
        <f t="shared" si="30"/>
        <v/>
      </c>
      <c r="E412" s="2" t="str">
        <f t="shared" si="31"/>
        <v/>
      </c>
      <c r="F412" s="2" t="str">
        <f t="shared" si="31"/>
        <v/>
      </c>
      <c r="G412" s="2" t="str">
        <f t="shared" si="32"/>
        <v/>
      </c>
      <c r="H412" s="2" t="str">
        <f t="shared" si="33"/>
        <v/>
      </c>
    </row>
    <row r="413" spans="3:8" x14ac:dyDescent="0.25">
      <c r="C413" s="2" t="str">
        <f t="shared" si="30"/>
        <v/>
      </c>
      <c r="D413" s="2" t="str">
        <f t="shared" si="30"/>
        <v/>
      </c>
      <c r="E413" s="2" t="str">
        <f t="shared" si="31"/>
        <v/>
      </c>
      <c r="F413" s="2" t="str">
        <f t="shared" si="31"/>
        <v/>
      </c>
      <c r="G413" s="2" t="str">
        <f t="shared" si="32"/>
        <v/>
      </c>
      <c r="H413" s="2" t="str">
        <f t="shared" si="33"/>
        <v/>
      </c>
    </row>
    <row r="414" spans="3:8" x14ac:dyDescent="0.25">
      <c r="C414" s="2" t="str">
        <f t="shared" si="30"/>
        <v/>
      </c>
      <c r="D414" s="2" t="str">
        <f t="shared" si="30"/>
        <v/>
      </c>
      <c r="E414" s="2" t="str">
        <f t="shared" si="31"/>
        <v/>
      </c>
      <c r="F414" s="2" t="str">
        <f t="shared" si="31"/>
        <v/>
      </c>
      <c r="G414" s="2" t="str">
        <f t="shared" si="32"/>
        <v/>
      </c>
      <c r="H414" s="2" t="str">
        <f t="shared" si="33"/>
        <v/>
      </c>
    </row>
    <row r="415" spans="3:8" x14ac:dyDescent="0.25">
      <c r="C415" s="2" t="str">
        <f t="shared" si="30"/>
        <v/>
      </c>
      <c r="D415" s="2" t="str">
        <f t="shared" si="30"/>
        <v/>
      </c>
      <c r="E415" s="2" t="str">
        <f t="shared" si="31"/>
        <v/>
      </c>
      <c r="F415" s="2" t="str">
        <f t="shared" si="31"/>
        <v/>
      </c>
      <c r="G415" s="2" t="str">
        <f t="shared" si="32"/>
        <v/>
      </c>
      <c r="H415" s="2" t="str">
        <f t="shared" si="33"/>
        <v/>
      </c>
    </row>
    <row r="416" spans="3:8" x14ac:dyDescent="0.25">
      <c r="C416" s="2" t="str">
        <f t="shared" si="30"/>
        <v/>
      </c>
      <c r="D416" s="2" t="str">
        <f t="shared" si="30"/>
        <v/>
      </c>
      <c r="E416" s="2" t="str">
        <f t="shared" si="31"/>
        <v/>
      </c>
      <c r="F416" s="2" t="str">
        <f t="shared" si="31"/>
        <v/>
      </c>
      <c r="G416" s="2" t="str">
        <f t="shared" si="32"/>
        <v/>
      </c>
      <c r="H416" s="2" t="str">
        <f t="shared" si="33"/>
        <v/>
      </c>
    </row>
    <row r="417" spans="3:8" x14ac:dyDescent="0.25">
      <c r="C417" s="2" t="str">
        <f t="shared" si="30"/>
        <v/>
      </c>
      <c r="D417" s="2" t="str">
        <f t="shared" si="30"/>
        <v/>
      </c>
      <c r="E417" s="2" t="str">
        <f t="shared" si="31"/>
        <v/>
      </c>
      <c r="F417" s="2" t="str">
        <f t="shared" si="31"/>
        <v/>
      </c>
      <c r="G417" s="2" t="str">
        <f t="shared" si="32"/>
        <v/>
      </c>
      <c r="H417" s="2" t="str">
        <f t="shared" si="33"/>
        <v/>
      </c>
    </row>
    <row r="418" spans="3:8" x14ac:dyDescent="0.25">
      <c r="C418" s="2" t="str">
        <f t="shared" si="30"/>
        <v/>
      </c>
      <c r="D418" s="2" t="str">
        <f t="shared" si="30"/>
        <v/>
      </c>
      <c r="E418" s="2" t="str">
        <f t="shared" si="31"/>
        <v/>
      </c>
      <c r="F418" s="2" t="str">
        <f t="shared" si="31"/>
        <v/>
      </c>
      <c r="G418" s="2" t="str">
        <f t="shared" si="32"/>
        <v/>
      </c>
      <c r="H418" s="2" t="str">
        <f t="shared" si="33"/>
        <v/>
      </c>
    </row>
    <row r="419" spans="3:8" x14ac:dyDescent="0.25">
      <c r="C419" s="2" t="str">
        <f t="shared" si="30"/>
        <v/>
      </c>
      <c r="D419" s="2" t="str">
        <f t="shared" si="30"/>
        <v/>
      </c>
      <c r="E419" s="2" t="str">
        <f t="shared" si="31"/>
        <v/>
      </c>
      <c r="F419" s="2" t="str">
        <f t="shared" si="31"/>
        <v/>
      </c>
      <c r="G419" s="2" t="str">
        <f t="shared" si="32"/>
        <v/>
      </c>
      <c r="H419" s="2" t="str">
        <f t="shared" si="33"/>
        <v/>
      </c>
    </row>
    <row r="420" spans="3:8" x14ac:dyDescent="0.25">
      <c r="C420" s="2" t="str">
        <f t="shared" si="30"/>
        <v/>
      </c>
      <c r="D420" s="2" t="str">
        <f t="shared" si="30"/>
        <v/>
      </c>
      <c r="E420" s="2" t="str">
        <f t="shared" si="31"/>
        <v/>
      </c>
      <c r="F420" s="2" t="str">
        <f t="shared" si="31"/>
        <v/>
      </c>
      <c r="G420" s="2" t="str">
        <f t="shared" si="32"/>
        <v/>
      </c>
      <c r="H420" s="2" t="str">
        <f t="shared" si="33"/>
        <v/>
      </c>
    </row>
    <row r="421" spans="3:8" x14ac:dyDescent="0.25">
      <c r="C421" s="2" t="str">
        <f t="shared" si="30"/>
        <v/>
      </c>
      <c r="D421" s="2" t="str">
        <f t="shared" si="30"/>
        <v/>
      </c>
      <c r="E421" s="2" t="str">
        <f t="shared" si="31"/>
        <v/>
      </c>
      <c r="F421" s="2" t="str">
        <f t="shared" si="31"/>
        <v/>
      </c>
      <c r="G421" s="2" t="str">
        <f t="shared" si="32"/>
        <v/>
      </c>
      <c r="H421" s="2" t="str">
        <f t="shared" si="33"/>
        <v/>
      </c>
    </row>
    <row r="422" spans="3:8" x14ac:dyDescent="0.25">
      <c r="C422" s="2" t="str">
        <f t="shared" si="30"/>
        <v/>
      </c>
      <c r="D422" s="2" t="str">
        <f t="shared" si="30"/>
        <v/>
      </c>
      <c r="E422" s="2" t="str">
        <f t="shared" si="31"/>
        <v/>
      </c>
      <c r="F422" s="2" t="str">
        <f t="shared" si="31"/>
        <v/>
      </c>
      <c r="G422" s="2" t="str">
        <f t="shared" si="32"/>
        <v/>
      </c>
      <c r="H422" s="2" t="str">
        <f t="shared" si="33"/>
        <v/>
      </c>
    </row>
    <row r="423" spans="3:8" x14ac:dyDescent="0.25">
      <c r="C423" s="2" t="str">
        <f t="shared" si="30"/>
        <v/>
      </c>
      <c r="D423" s="2" t="str">
        <f t="shared" si="30"/>
        <v/>
      </c>
      <c r="E423" s="2" t="str">
        <f t="shared" si="31"/>
        <v/>
      </c>
      <c r="F423" s="2" t="str">
        <f t="shared" si="31"/>
        <v/>
      </c>
      <c r="G423" s="2" t="str">
        <f t="shared" si="32"/>
        <v/>
      </c>
      <c r="H423" s="2" t="str">
        <f t="shared" si="33"/>
        <v/>
      </c>
    </row>
    <row r="424" spans="3:8" x14ac:dyDescent="0.25">
      <c r="C424" s="2" t="str">
        <f t="shared" si="30"/>
        <v/>
      </c>
      <c r="D424" s="2" t="str">
        <f t="shared" si="30"/>
        <v/>
      </c>
      <c r="E424" s="2" t="str">
        <f t="shared" si="31"/>
        <v/>
      </c>
      <c r="F424" s="2" t="str">
        <f t="shared" si="31"/>
        <v/>
      </c>
      <c r="G424" s="2" t="str">
        <f t="shared" si="32"/>
        <v/>
      </c>
      <c r="H424" s="2" t="str">
        <f t="shared" si="33"/>
        <v/>
      </c>
    </row>
    <row r="425" spans="3:8" x14ac:dyDescent="0.25">
      <c r="C425" s="2" t="str">
        <f t="shared" si="30"/>
        <v/>
      </c>
      <c r="D425" s="2" t="str">
        <f t="shared" si="30"/>
        <v/>
      </c>
      <c r="E425" s="2" t="str">
        <f t="shared" si="31"/>
        <v/>
      </c>
      <c r="F425" s="2" t="str">
        <f t="shared" si="31"/>
        <v/>
      </c>
      <c r="G425" s="2" t="str">
        <f t="shared" si="32"/>
        <v/>
      </c>
      <c r="H425" s="2" t="str">
        <f t="shared" si="33"/>
        <v/>
      </c>
    </row>
    <row r="426" spans="3:8" x14ac:dyDescent="0.25">
      <c r="C426" s="2" t="str">
        <f t="shared" si="30"/>
        <v/>
      </c>
      <c r="D426" s="2" t="str">
        <f t="shared" si="30"/>
        <v/>
      </c>
      <c r="E426" s="2" t="str">
        <f t="shared" si="31"/>
        <v/>
      </c>
      <c r="F426" s="2" t="str">
        <f t="shared" si="31"/>
        <v/>
      </c>
      <c r="G426" s="2" t="str">
        <f t="shared" si="32"/>
        <v/>
      </c>
      <c r="H426" s="2" t="str">
        <f t="shared" si="33"/>
        <v/>
      </c>
    </row>
    <row r="427" spans="3:8" x14ac:dyDescent="0.25">
      <c r="C427" s="2" t="str">
        <f t="shared" si="30"/>
        <v/>
      </c>
      <c r="D427" s="2" t="str">
        <f t="shared" si="30"/>
        <v/>
      </c>
      <c r="E427" s="2" t="str">
        <f t="shared" si="31"/>
        <v/>
      </c>
      <c r="F427" s="2" t="str">
        <f t="shared" si="31"/>
        <v/>
      </c>
      <c r="G427" s="2" t="str">
        <f t="shared" si="32"/>
        <v/>
      </c>
      <c r="H427" s="2" t="str">
        <f t="shared" si="33"/>
        <v/>
      </c>
    </row>
    <row r="428" spans="3:8" x14ac:dyDescent="0.25">
      <c r="C428" s="2" t="str">
        <f t="shared" si="30"/>
        <v/>
      </c>
      <c r="D428" s="2" t="str">
        <f t="shared" si="30"/>
        <v/>
      </c>
      <c r="E428" s="2" t="str">
        <f t="shared" si="31"/>
        <v/>
      </c>
      <c r="F428" s="2" t="str">
        <f t="shared" si="31"/>
        <v/>
      </c>
      <c r="G428" s="2" t="str">
        <f t="shared" si="32"/>
        <v/>
      </c>
      <c r="H428" s="2" t="str">
        <f t="shared" si="33"/>
        <v/>
      </c>
    </row>
    <row r="429" spans="3:8" x14ac:dyDescent="0.25">
      <c r="C429" s="2" t="str">
        <f t="shared" si="30"/>
        <v/>
      </c>
      <c r="D429" s="2" t="str">
        <f t="shared" si="30"/>
        <v/>
      </c>
      <c r="E429" s="2" t="str">
        <f t="shared" si="31"/>
        <v/>
      </c>
      <c r="F429" s="2" t="str">
        <f t="shared" si="31"/>
        <v/>
      </c>
      <c r="G429" s="2" t="str">
        <f t="shared" si="32"/>
        <v/>
      </c>
      <c r="H429" s="2" t="str">
        <f t="shared" si="33"/>
        <v/>
      </c>
    </row>
    <row r="430" spans="3:8" x14ac:dyDescent="0.25">
      <c r="C430" s="2" t="str">
        <f t="shared" si="30"/>
        <v/>
      </c>
      <c r="D430" s="2" t="str">
        <f t="shared" si="30"/>
        <v/>
      </c>
      <c r="E430" s="2" t="str">
        <f t="shared" si="31"/>
        <v/>
      </c>
      <c r="F430" s="2" t="str">
        <f t="shared" si="31"/>
        <v/>
      </c>
      <c r="G430" s="2" t="str">
        <f t="shared" si="32"/>
        <v/>
      </c>
      <c r="H430" s="2" t="str">
        <f t="shared" si="33"/>
        <v/>
      </c>
    </row>
    <row r="431" spans="3:8" x14ac:dyDescent="0.25">
      <c r="C431" s="2" t="str">
        <f t="shared" si="30"/>
        <v/>
      </c>
      <c r="D431" s="2" t="str">
        <f t="shared" si="30"/>
        <v/>
      </c>
      <c r="E431" s="2" t="str">
        <f t="shared" si="31"/>
        <v/>
      </c>
      <c r="F431" s="2" t="str">
        <f t="shared" si="31"/>
        <v/>
      </c>
      <c r="G431" s="2" t="str">
        <f t="shared" si="32"/>
        <v/>
      </c>
      <c r="H431" s="2" t="str">
        <f t="shared" si="33"/>
        <v/>
      </c>
    </row>
    <row r="432" spans="3:8" x14ac:dyDescent="0.25">
      <c r="C432" s="2" t="str">
        <f t="shared" si="30"/>
        <v/>
      </c>
      <c r="D432" s="2" t="str">
        <f t="shared" si="30"/>
        <v/>
      </c>
      <c r="E432" s="2" t="str">
        <f t="shared" si="31"/>
        <v/>
      </c>
      <c r="F432" s="2" t="str">
        <f t="shared" si="31"/>
        <v/>
      </c>
      <c r="G432" s="2" t="str">
        <f t="shared" si="32"/>
        <v/>
      </c>
      <c r="H432" s="2" t="str">
        <f t="shared" si="33"/>
        <v/>
      </c>
    </row>
    <row r="433" spans="3:8" x14ac:dyDescent="0.25">
      <c r="C433" s="2" t="str">
        <f t="shared" si="30"/>
        <v/>
      </c>
      <c r="D433" s="2" t="str">
        <f t="shared" si="30"/>
        <v/>
      </c>
      <c r="E433" s="2" t="str">
        <f t="shared" si="31"/>
        <v/>
      </c>
      <c r="F433" s="2" t="str">
        <f t="shared" si="31"/>
        <v/>
      </c>
      <c r="G433" s="2" t="str">
        <f t="shared" si="32"/>
        <v/>
      </c>
      <c r="H433" s="2" t="str">
        <f t="shared" si="33"/>
        <v/>
      </c>
    </row>
    <row r="434" spans="3:8" x14ac:dyDescent="0.25">
      <c r="C434" s="2" t="str">
        <f t="shared" si="30"/>
        <v/>
      </c>
      <c r="D434" s="2" t="str">
        <f t="shared" si="30"/>
        <v/>
      </c>
      <c r="E434" s="2" t="str">
        <f t="shared" si="31"/>
        <v/>
      </c>
      <c r="F434" s="2" t="str">
        <f t="shared" si="31"/>
        <v/>
      </c>
      <c r="G434" s="2" t="str">
        <f t="shared" si="32"/>
        <v/>
      </c>
      <c r="H434" s="2" t="str">
        <f t="shared" si="33"/>
        <v/>
      </c>
    </row>
    <row r="435" spans="3:8" x14ac:dyDescent="0.25">
      <c r="C435" s="2" t="str">
        <f t="shared" si="30"/>
        <v/>
      </c>
      <c r="D435" s="2" t="str">
        <f t="shared" si="30"/>
        <v/>
      </c>
      <c r="E435" s="2" t="str">
        <f t="shared" si="31"/>
        <v/>
      </c>
      <c r="F435" s="2" t="str">
        <f t="shared" si="31"/>
        <v/>
      </c>
      <c r="G435" s="2" t="str">
        <f t="shared" si="32"/>
        <v/>
      </c>
      <c r="H435" s="2" t="str">
        <f t="shared" si="33"/>
        <v/>
      </c>
    </row>
    <row r="436" spans="3:8" x14ac:dyDescent="0.25">
      <c r="C436" s="2" t="str">
        <f t="shared" ref="C436:D468" si="34">IF(AND($A436&lt;&gt;"",$B436&lt;&gt;""),A436,"")</f>
        <v/>
      </c>
      <c r="D436" s="2" t="str">
        <f t="shared" si="34"/>
        <v/>
      </c>
      <c r="E436" s="2" t="str">
        <f t="shared" si="31"/>
        <v/>
      </c>
      <c r="F436" s="2" t="str">
        <f t="shared" si="31"/>
        <v/>
      </c>
      <c r="G436" s="2" t="str">
        <f t="shared" si="32"/>
        <v/>
      </c>
      <c r="H436" s="2" t="str">
        <f t="shared" si="33"/>
        <v/>
      </c>
    </row>
    <row r="437" spans="3:8" x14ac:dyDescent="0.25">
      <c r="C437" s="2" t="str">
        <f t="shared" si="34"/>
        <v/>
      </c>
      <c r="D437" s="2" t="str">
        <f t="shared" si="34"/>
        <v/>
      </c>
      <c r="E437" s="2" t="str">
        <f t="shared" si="31"/>
        <v/>
      </c>
      <c r="F437" s="2" t="str">
        <f t="shared" si="31"/>
        <v/>
      </c>
      <c r="G437" s="2" t="str">
        <f t="shared" si="32"/>
        <v/>
      </c>
      <c r="H437" s="2" t="str">
        <f t="shared" si="33"/>
        <v/>
      </c>
    </row>
    <row r="438" spans="3:8" x14ac:dyDescent="0.25">
      <c r="C438" s="2" t="str">
        <f t="shared" si="34"/>
        <v/>
      </c>
      <c r="D438" s="2" t="str">
        <f t="shared" si="34"/>
        <v/>
      </c>
      <c r="E438" s="2" t="str">
        <f t="shared" si="31"/>
        <v/>
      </c>
      <c r="F438" s="2" t="str">
        <f t="shared" si="31"/>
        <v/>
      </c>
      <c r="G438" s="2" t="str">
        <f t="shared" si="32"/>
        <v/>
      </c>
      <c r="H438" s="2" t="str">
        <f t="shared" si="33"/>
        <v/>
      </c>
    </row>
    <row r="439" spans="3:8" x14ac:dyDescent="0.25">
      <c r="C439" s="2" t="str">
        <f t="shared" si="34"/>
        <v/>
      </c>
      <c r="D439" s="2" t="str">
        <f t="shared" si="34"/>
        <v/>
      </c>
      <c r="E439" s="2" t="str">
        <f t="shared" si="31"/>
        <v/>
      </c>
      <c r="F439" s="2" t="str">
        <f t="shared" si="31"/>
        <v/>
      </c>
      <c r="G439" s="2" t="str">
        <f t="shared" si="32"/>
        <v/>
      </c>
      <c r="H439" s="2" t="str">
        <f t="shared" si="33"/>
        <v/>
      </c>
    </row>
    <row r="440" spans="3:8" x14ac:dyDescent="0.25">
      <c r="C440" s="2" t="str">
        <f t="shared" si="34"/>
        <v/>
      </c>
      <c r="D440" s="2" t="str">
        <f t="shared" si="34"/>
        <v/>
      </c>
      <c r="E440" s="2" t="str">
        <f t="shared" si="31"/>
        <v/>
      </c>
      <c r="F440" s="2" t="str">
        <f t="shared" si="31"/>
        <v/>
      </c>
      <c r="G440" s="2" t="str">
        <f t="shared" si="32"/>
        <v/>
      </c>
      <c r="H440" s="2" t="str">
        <f t="shared" si="33"/>
        <v/>
      </c>
    </row>
    <row r="441" spans="3:8" x14ac:dyDescent="0.25">
      <c r="C441" s="2" t="str">
        <f t="shared" si="34"/>
        <v/>
      </c>
      <c r="D441" s="2" t="str">
        <f t="shared" si="34"/>
        <v/>
      </c>
      <c r="E441" s="2" t="str">
        <f t="shared" si="31"/>
        <v/>
      </c>
      <c r="F441" s="2" t="str">
        <f t="shared" si="31"/>
        <v/>
      </c>
      <c r="G441" s="2" t="str">
        <f t="shared" si="32"/>
        <v/>
      </c>
      <c r="H441" s="2" t="str">
        <f t="shared" si="33"/>
        <v/>
      </c>
    </row>
    <row r="442" spans="3:8" x14ac:dyDescent="0.25">
      <c r="C442" s="2" t="str">
        <f t="shared" si="34"/>
        <v/>
      </c>
      <c r="D442" s="2" t="str">
        <f t="shared" si="34"/>
        <v/>
      </c>
      <c r="E442" s="2" t="str">
        <f t="shared" si="31"/>
        <v/>
      </c>
      <c r="F442" s="2" t="str">
        <f t="shared" si="31"/>
        <v/>
      </c>
      <c r="G442" s="2" t="str">
        <f t="shared" si="32"/>
        <v/>
      </c>
      <c r="H442" s="2" t="str">
        <f t="shared" si="33"/>
        <v/>
      </c>
    </row>
    <row r="443" spans="3:8" x14ac:dyDescent="0.25">
      <c r="C443" s="2" t="str">
        <f t="shared" si="34"/>
        <v/>
      </c>
      <c r="D443" s="2" t="str">
        <f t="shared" si="34"/>
        <v/>
      </c>
      <c r="E443" s="2" t="str">
        <f t="shared" si="31"/>
        <v/>
      </c>
      <c r="F443" s="2" t="str">
        <f t="shared" si="31"/>
        <v/>
      </c>
      <c r="G443" s="2" t="str">
        <f t="shared" si="32"/>
        <v/>
      </c>
      <c r="H443" s="2" t="str">
        <f t="shared" si="33"/>
        <v/>
      </c>
    </row>
    <row r="444" spans="3:8" x14ac:dyDescent="0.25">
      <c r="C444" s="2" t="str">
        <f t="shared" si="34"/>
        <v/>
      </c>
      <c r="D444" s="2" t="str">
        <f t="shared" si="34"/>
        <v/>
      </c>
      <c r="E444" s="2" t="str">
        <f t="shared" si="31"/>
        <v/>
      </c>
      <c r="F444" s="2" t="str">
        <f t="shared" si="31"/>
        <v/>
      </c>
      <c r="G444" s="2" t="str">
        <f t="shared" si="32"/>
        <v/>
      </c>
      <c r="H444" s="2" t="str">
        <f t="shared" si="33"/>
        <v/>
      </c>
    </row>
    <row r="445" spans="3:8" x14ac:dyDescent="0.25">
      <c r="C445" s="2" t="str">
        <f t="shared" si="34"/>
        <v/>
      </c>
      <c r="D445" s="2" t="str">
        <f t="shared" si="34"/>
        <v/>
      </c>
      <c r="E445" s="2" t="str">
        <f t="shared" si="31"/>
        <v/>
      </c>
      <c r="F445" s="2" t="str">
        <f t="shared" si="31"/>
        <v/>
      </c>
      <c r="G445" s="2" t="str">
        <f t="shared" si="32"/>
        <v/>
      </c>
      <c r="H445" s="2" t="str">
        <f t="shared" si="33"/>
        <v/>
      </c>
    </row>
    <row r="446" spans="3:8" x14ac:dyDescent="0.25">
      <c r="C446" s="2" t="str">
        <f t="shared" si="34"/>
        <v/>
      </c>
      <c r="D446" s="2" t="str">
        <f t="shared" si="34"/>
        <v/>
      </c>
      <c r="E446" s="2" t="str">
        <f t="shared" si="31"/>
        <v/>
      </c>
      <c r="F446" s="2" t="str">
        <f t="shared" si="31"/>
        <v/>
      </c>
      <c r="G446" s="2" t="str">
        <f t="shared" si="32"/>
        <v/>
      </c>
      <c r="H446" s="2" t="str">
        <f t="shared" si="33"/>
        <v/>
      </c>
    </row>
    <row r="447" spans="3:8" x14ac:dyDescent="0.25">
      <c r="C447" s="2" t="str">
        <f t="shared" si="34"/>
        <v/>
      </c>
      <c r="D447" s="2" t="str">
        <f t="shared" si="34"/>
        <v/>
      </c>
      <c r="E447" s="2" t="str">
        <f t="shared" si="31"/>
        <v/>
      </c>
      <c r="F447" s="2" t="str">
        <f t="shared" si="31"/>
        <v/>
      </c>
      <c r="G447" s="2" t="str">
        <f t="shared" si="32"/>
        <v/>
      </c>
      <c r="H447" s="2" t="str">
        <f t="shared" si="33"/>
        <v/>
      </c>
    </row>
    <row r="448" spans="3:8" x14ac:dyDescent="0.25">
      <c r="C448" s="2" t="str">
        <f t="shared" si="34"/>
        <v/>
      </c>
      <c r="D448" s="2" t="str">
        <f t="shared" si="34"/>
        <v/>
      </c>
      <c r="E448" s="2" t="str">
        <f t="shared" si="31"/>
        <v/>
      </c>
      <c r="F448" s="2" t="str">
        <f t="shared" si="31"/>
        <v/>
      </c>
      <c r="G448" s="2" t="str">
        <f t="shared" si="32"/>
        <v/>
      </c>
      <c r="H448" s="2" t="str">
        <f t="shared" si="33"/>
        <v/>
      </c>
    </row>
    <row r="449" spans="3:8" x14ac:dyDescent="0.25">
      <c r="C449" s="2" t="str">
        <f t="shared" si="34"/>
        <v/>
      </c>
      <c r="D449" s="2" t="str">
        <f t="shared" si="34"/>
        <v/>
      </c>
      <c r="E449" s="2" t="str">
        <f t="shared" si="31"/>
        <v/>
      </c>
      <c r="F449" s="2" t="str">
        <f t="shared" si="31"/>
        <v/>
      </c>
      <c r="G449" s="2" t="str">
        <f t="shared" si="32"/>
        <v/>
      </c>
      <c r="H449" s="2" t="str">
        <f t="shared" si="33"/>
        <v/>
      </c>
    </row>
    <row r="450" spans="3:8" x14ac:dyDescent="0.25">
      <c r="C450" s="2" t="str">
        <f t="shared" si="34"/>
        <v/>
      </c>
      <c r="D450" s="2" t="str">
        <f t="shared" si="34"/>
        <v/>
      </c>
      <c r="E450" s="2" t="str">
        <f t="shared" si="31"/>
        <v/>
      </c>
      <c r="F450" s="2" t="str">
        <f t="shared" si="31"/>
        <v/>
      </c>
      <c r="G450" s="2" t="str">
        <f t="shared" si="32"/>
        <v/>
      </c>
      <c r="H450" s="2" t="str">
        <f t="shared" si="33"/>
        <v/>
      </c>
    </row>
    <row r="451" spans="3:8" x14ac:dyDescent="0.25">
      <c r="C451" s="2" t="str">
        <f t="shared" si="34"/>
        <v/>
      </c>
      <c r="D451" s="2" t="str">
        <f t="shared" si="34"/>
        <v/>
      </c>
      <c r="E451" s="2" t="str">
        <f t="shared" ref="E451:F468" si="35">IF(C451="","",_xlfn.RANK.AVG(C451,C$2:C$468,1))</f>
        <v/>
      </c>
      <c r="F451" s="2" t="str">
        <f t="shared" si="35"/>
        <v/>
      </c>
      <c r="G451" s="2" t="str">
        <f t="shared" ref="G451:G468" si="36">IF(C451="","",E451-F451)</f>
        <v/>
      </c>
      <c r="H451" s="2" t="str">
        <f t="shared" ref="H451:H468" si="37">IF(C451="","",G451^2)</f>
        <v/>
      </c>
    </row>
    <row r="452" spans="3:8" x14ac:dyDescent="0.25">
      <c r="C452" s="2" t="str">
        <f t="shared" si="34"/>
        <v/>
      </c>
      <c r="D452" s="2" t="str">
        <f t="shared" si="34"/>
        <v/>
      </c>
      <c r="E452" s="2" t="str">
        <f t="shared" si="35"/>
        <v/>
      </c>
      <c r="F452" s="2" t="str">
        <f t="shared" si="35"/>
        <v/>
      </c>
      <c r="G452" s="2" t="str">
        <f t="shared" si="36"/>
        <v/>
      </c>
      <c r="H452" s="2" t="str">
        <f t="shared" si="37"/>
        <v/>
      </c>
    </row>
    <row r="453" spans="3:8" x14ac:dyDescent="0.25">
      <c r="C453" s="2" t="str">
        <f t="shared" si="34"/>
        <v/>
      </c>
      <c r="D453" s="2" t="str">
        <f t="shared" si="34"/>
        <v/>
      </c>
      <c r="E453" s="2" t="str">
        <f t="shared" si="35"/>
        <v/>
      </c>
      <c r="F453" s="2" t="str">
        <f t="shared" si="35"/>
        <v/>
      </c>
      <c r="G453" s="2" t="str">
        <f t="shared" si="36"/>
        <v/>
      </c>
      <c r="H453" s="2" t="str">
        <f t="shared" si="37"/>
        <v/>
      </c>
    </row>
    <row r="454" spans="3:8" x14ac:dyDescent="0.25">
      <c r="C454" s="2" t="str">
        <f t="shared" si="34"/>
        <v/>
      </c>
      <c r="D454" s="2" t="str">
        <f t="shared" si="34"/>
        <v/>
      </c>
      <c r="E454" s="2" t="str">
        <f t="shared" si="35"/>
        <v/>
      </c>
      <c r="F454" s="2" t="str">
        <f t="shared" si="35"/>
        <v/>
      </c>
      <c r="G454" s="2" t="str">
        <f t="shared" si="36"/>
        <v/>
      </c>
      <c r="H454" s="2" t="str">
        <f t="shared" si="37"/>
        <v/>
      </c>
    </row>
    <row r="455" spans="3:8" x14ac:dyDescent="0.25">
      <c r="C455" s="2" t="str">
        <f t="shared" si="34"/>
        <v/>
      </c>
      <c r="D455" s="2" t="str">
        <f t="shared" si="34"/>
        <v/>
      </c>
      <c r="E455" s="2" t="str">
        <f t="shared" si="35"/>
        <v/>
      </c>
      <c r="F455" s="2" t="str">
        <f t="shared" si="35"/>
        <v/>
      </c>
      <c r="G455" s="2" t="str">
        <f t="shared" si="36"/>
        <v/>
      </c>
      <c r="H455" s="2" t="str">
        <f t="shared" si="37"/>
        <v/>
      </c>
    </row>
    <row r="456" spans="3:8" x14ac:dyDescent="0.25">
      <c r="C456" s="2" t="str">
        <f t="shared" si="34"/>
        <v/>
      </c>
      <c r="D456" s="2" t="str">
        <f t="shared" si="34"/>
        <v/>
      </c>
      <c r="E456" s="2" t="str">
        <f t="shared" si="35"/>
        <v/>
      </c>
      <c r="F456" s="2" t="str">
        <f t="shared" si="35"/>
        <v/>
      </c>
      <c r="G456" s="2" t="str">
        <f t="shared" si="36"/>
        <v/>
      </c>
      <c r="H456" s="2" t="str">
        <f t="shared" si="37"/>
        <v/>
      </c>
    </row>
    <row r="457" spans="3:8" x14ac:dyDescent="0.25">
      <c r="C457" s="2" t="str">
        <f t="shared" si="34"/>
        <v/>
      </c>
      <c r="D457" s="2" t="str">
        <f t="shared" si="34"/>
        <v/>
      </c>
      <c r="E457" s="2" t="str">
        <f t="shared" si="35"/>
        <v/>
      </c>
      <c r="F457" s="2" t="str">
        <f t="shared" si="35"/>
        <v/>
      </c>
      <c r="G457" s="2" t="str">
        <f t="shared" si="36"/>
        <v/>
      </c>
      <c r="H457" s="2" t="str">
        <f t="shared" si="37"/>
        <v/>
      </c>
    </row>
    <row r="458" spans="3:8" x14ac:dyDescent="0.25">
      <c r="C458" s="2" t="str">
        <f t="shared" si="34"/>
        <v/>
      </c>
      <c r="D458" s="2" t="str">
        <f t="shared" si="34"/>
        <v/>
      </c>
      <c r="E458" s="2" t="str">
        <f t="shared" si="35"/>
        <v/>
      </c>
      <c r="F458" s="2" t="str">
        <f t="shared" si="35"/>
        <v/>
      </c>
      <c r="G458" s="2" t="str">
        <f t="shared" si="36"/>
        <v/>
      </c>
      <c r="H458" s="2" t="str">
        <f t="shared" si="37"/>
        <v/>
      </c>
    </row>
    <row r="459" spans="3:8" x14ac:dyDescent="0.25">
      <c r="C459" s="2" t="str">
        <f t="shared" si="34"/>
        <v/>
      </c>
      <c r="D459" s="2" t="str">
        <f t="shared" si="34"/>
        <v/>
      </c>
      <c r="E459" s="2" t="str">
        <f t="shared" si="35"/>
        <v/>
      </c>
      <c r="F459" s="2" t="str">
        <f t="shared" si="35"/>
        <v/>
      </c>
      <c r="G459" s="2" t="str">
        <f t="shared" si="36"/>
        <v/>
      </c>
      <c r="H459" s="2" t="str">
        <f t="shared" si="37"/>
        <v/>
      </c>
    </row>
    <row r="460" spans="3:8" x14ac:dyDescent="0.25">
      <c r="C460" s="2" t="str">
        <f t="shared" si="34"/>
        <v/>
      </c>
      <c r="D460" s="2" t="str">
        <f t="shared" si="34"/>
        <v/>
      </c>
      <c r="E460" s="2" t="str">
        <f t="shared" si="35"/>
        <v/>
      </c>
      <c r="F460" s="2" t="str">
        <f t="shared" si="35"/>
        <v/>
      </c>
      <c r="G460" s="2" t="str">
        <f t="shared" si="36"/>
        <v/>
      </c>
      <c r="H460" s="2" t="str">
        <f t="shared" si="37"/>
        <v/>
      </c>
    </row>
    <row r="461" spans="3:8" x14ac:dyDescent="0.25">
      <c r="C461" s="2" t="str">
        <f t="shared" si="34"/>
        <v/>
      </c>
      <c r="D461" s="2" t="str">
        <f t="shared" si="34"/>
        <v/>
      </c>
      <c r="E461" s="2" t="str">
        <f t="shared" si="35"/>
        <v/>
      </c>
      <c r="F461" s="2" t="str">
        <f t="shared" si="35"/>
        <v/>
      </c>
      <c r="G461" s="2" t="str">
        <f t="shared" si="36"/>
        <v/>
      </c>
      <c r="H461" s="2" t="str">
        <f t="shared" si="37"/>
        <v/>
      </c>
    </row>
    <row r="462" spans="3:8" x14ac:dyDescent="0.25">
      <c r="C462" s="2" t="str">
        <f t="shared" si="34"/>
        <v/>
      </c>
      <c r="D462" s="2" t="str">
        <f t="shared" si="34"/>
        <v/>
      </c>
      <c r="E462" s="2" t="str">
        <f t="shared" si="35"/>
        <v/>
      </c>
      <c r="F462" s="2" t="str">
        <f t="shared" si="35"/>
        <v/>
      </c>
      <c r="G462" s="2" t="str">
        <f t="shared" si="36"/>
        <v/>
      </c>
      <c r="H462" s="2" t="str">
        <f t="shared" si="37"/>
        <v/>
      </c>
    </row>
    <row r="463" spans="3:8" x14ac:dyDescent="0.25">
      <c r="C463" s="2" t="str">
        <f t="shared" si="34"/>
        <v/>
      </c>
      <c r="D463" s="2" t="str">
        <f t="shared" si="34"/>
        <v/>
      </c>
      <c r="E463" s="2" t="str">
        <f t="shared" si="35"/>
        <v/>
      </c>
      <c r="F463" s="2" t="str">
        <f t="shared" si="35"/>
        <v/>
      </c>
      <c r="G463" s="2" t="str">
        <f t="shared" si="36"/>
        <v/>
      </c>
      <c r="H463" s="2" t="str">
        <f t="shared" si="37"/>
        <v/>
      </c>
    </row>
    <row r="464" spans="3:8" x14ac:dyDescent="0.25">
      <c r="C464" s="2" t="str">
        <f t="shared" si="34"/>
        <v/>
      </c>
      <c r="D464" s="2" t="str">
        <f t="shared" si="34"/>
        <v/>
      </c>
      <c r="E464" s="2" t="str">
        <f t="shared" si="35"/>
        <v/>
      </c>
      <c r="F464" s="2" t="str">
        <f t="shared" si="35"/>
        <v/>
      </c>
      <c r="G464" s="2" t="str">
        <f t="shared" si="36"/>
        <v/>
      </c>
      <c r="H464" s="2" t="str">
        <f t="shared" si="37"/>
        <v/>
      </c>
    </row>
    <row r="465" spans="3:8" x14ac:dyDescent="0.25">
      <c r="C465" s="2" t="str">
        <f t="shared" si="34"/>
        <v/>
      </c>
      <c r="D465" s="2" t="str">
        <f t="shared" si="34"/>
        <v/>
      </c>
      <c r="E465" s="2" t="str">
        <f t="shared" si="35"/>
        <v/>
      </c>
      <c r="F465" s="2" t="str">
        <f t="shared" si="35"/>
        <v/>
      </c>
      <c r="G465" s="2" t="str">
        <f t="shared" si="36"/>
        <v/>
      </c>
      <c r="H465" s="2" t="str">
        <f t="shared" si="37"/>
        <v/>
      </c>
    </row>
    <row r="466" spans="3:8" x14ac:dyDescent="0.25">
      <c r="C466" s="2" t="str">
        <f t="shared" si="34"/>
        <v/>
      </c>
      <c r="D466" s="2" t="str">
        <f t="shared" si="34"/>
        <v/>
      </c>
      <c r="E466" s="2" t="str">
        <f t="shared" si="35"/>
        <v/>
      </c>
      <c r="F466" s="2" t="str">
        <f t="shared" si="35"/>
        <v/>
      </c>
      <c r="G466" s="2" t="str">
        <f t="shared" si="36"/>
        <v/>
      </c>
      <c r="H466" s="2" t="str">
        <f t="shared" si="37"/>
        <v/>
      </c>
    </row>
    <row r="467" spans="3:8" x14ac:dyDescent="0.25">
      <c r="C467" s="2" t="str">
        <f t="shared" si="34"/>
        <v/>
      </c>
      <c r="D467" s="2" t="str">
        <f t="shared" si="34"/>
        <v/>
      </c>
      <c r="E467" s="2" t="str">
        <f t="shared" si="35"/>
        <v/>
      </c>
      <c r="F467" s="2" t="str">
        <f t="shared" si="35"/>
        <v/>
      </c>
      <c r="G467" s="2" t="str">
        <f t="shared" si="36"/>
        <v/>
      </c>
      <c r="H467" s="2" t="str">
        <f t="shared" si="37"/>
        <v/>
      </c>
    </row>
    <row r="468" spans="3:8" x14ac:dyDescent="0.25">
      <c r="C468" s="2" t="str">
        <f t="shared" si="34"/>
        <v/>
      </c>
      <c r="D468" s="2" t="str">
        <f t="shared" si="34"/>
        <v/>
      </c>
      <c r="E468" s="2" t="str">
        <f t="shared" si="35"/>
        <v/>
      </c>
      <c r="F468" s="2" t="str">
        <f t="shared" si="35"/>
        <v/>
      </c>
      <c r="G468" s="2" t="str">
        <f t="shared" si="36"/>
        <v/>
      </c>
      <c r="H468" s="2" t="str">
        <f t="shared" si="37"/>
        <v/>
      </c>
    </row>
  </sheetData>
  <pageMargins left="0.7" right="0.7" top="0.75" bottom="0.75" header="0.3" footer="0.3"/>
  <pageSetup paperSize="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SpearmanRho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Stikker</dc:creator>
  <cp:lastModifiedBy>Tanya Sharma</cp:lastModifiedBy>
  <dcterms:created xsi:type="dcterms:W3CDTF">2017-04-25T06:43:44Z</dcterms:created>
  <dcterms:modified xsi:type="dcterms:W3CDTF">2019-04-13T06:27:28Z</dcterms:modified>
</cp:coreProperties>
</file>