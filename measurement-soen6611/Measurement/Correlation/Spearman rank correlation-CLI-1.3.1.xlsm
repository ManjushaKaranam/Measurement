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\"/>
    </mc:Choice>
  </mc:AlternateContent>
  <xr:revisionPtr revIDLastSave="0" documentId="13_ncr:1_{3F60DDBA-E7D5-44B0-BFA3-92AC76324A06}" xr6:coauthVersionLast="36" xr6:coauthVersionMax="36" xr10:uidLastSave="{00000000-0000-0000-0000-000000000000}"/>
  <bookViews>
    <workbookView xWindow="0" yWindow="0" windowWidth="25200" windowHeight="11775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5" i="1" l="1"/>
  <c r="E53" i="1"/>
  <c r="E51" i="1"/>
  <c r="E49" i="1"/>
  <c r="E47" i="1"/>
  <c r="E45" i="1"/>
  <c r="E43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E3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G41" i="1"/>
  <c r="F40" i="1"/>
  <c r="F39" i="1"/>
  <c r="F38" i="1"/>
  <c r="F37" i="1"/>
  <c r="F36" i="1"/>
  <c r="H36" i="1"/>
  <c r="F35" i="1"/>
  <c r="F34" i="1"/>
  <c r="F33" i="1"/>
  <c r="F32" i="1"/>
  <c r="H32" i="1"/>
  <c r="F31" i="1"/>
  <c r="F30" i="1"/>
  <c r="F29" i="1"/>
  <c r="G29" i="1"/>
  <c r="F28" i="1"/>
  <c r="F27" i="1"/>
  <c r="F26" i="1"/>
  <c r="F25" i="1"/>
  <c r="G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26" i="1"/>
  <c r="K18" i="1"/>
  <c r="K14" i="1"/>
  <c r="K22" i="1"/>
  <c r="G3" i="1" l="1"/>
  <c r="G5" i="1"/>
  <c r="G7" i="1"/>
  <c r="G9" i="1"/>
  <c r="H9" i="1" s="1"/>
  <c r="G11" i="1"/>
  <c r="G13" i="1"/>
  <c r="G15" i="1"/>
  <c r="G17" i="1"/>
  <c r="H17" i="1" s="1"/>
  <c r="G19" i="1"/>
  <c r="G21" i="1"/>
  <c r="G23" i="1"/>
  <c r="G27" i="1"/>
  <c r="H27" i="1" s="1"/>
  <c r="G31" i="1"/>
  <c r="H31" i="1" s="1"/>
  <c r="G33" i="1"/>
  <c r="G35" i="1"/>
  <c r="G37" i="1"/>
  <c r="H37" i="1" s="1"/>
  <c r="G39" i="1"/>
  <c r="H39" i="1" s="1"/>
  <c r="G43" i="1"/>
  <c r="G45" i="1"/>
  <c r="G47" i="1"/>
  <c r="H47" i="1" s="1"/>
  <c r="G49" i="1"/>
  <c r="G51" i="1"/>
  <c r="G53" i="1"/>
  <c r="G55" i="1"/>
  <c r="H55" i="1" s="1"/>
  <c r="O7" i="1"/>
  <c r="G36" i="1"/>
  <c r="G32" i="1"/>
  <c r="G18" i="1"/>
  <c r="H18" i="1" s="1"/>
  <c r="E2" i="1"/>
  <c r="E4" i="1"/>
  <c r="G4" i="1" s="1"/>
  <c r="H4" i="1" s="1"/>
  <c r="E6" i="1"/>
  <c r="G6" i="1" s="1"/>
  <c r="H6" i="1" s="1"/>
  <c r="E8" i="1"/>
  <c r="G8" i="1" s="1"/>
  <c r="H8" i="1" s="1"/>
  <c r="E10" i="1"/>
  <c r="G10" i="1" s="1"/>
  <c r="H10" i="1" s="1"/>
  <c r="E12" i="1"/>
  <c r="G12" i="1" s="1"/>
  <c r="H12" i="1" s="1"/>
  <c r="E14" i="1"/>
  <c r="G14" i="1" s="1"/>
  <c r="H14" i="1" s="1"/>
  <c r="E16" i="1"/>
  <c r="G16" i="1" s="1"/>
  <c r="H16" i="1" s="1"/>
  <c r="E18" i="1"/>
  <c r="E20" i="1"/>
  <c r="G20" i="1" s="1"/>
  <c r="H20" i="1" s="1"/>
  <c r="E22" i="1"/>
  <c r="G22" i="1" s="1"/>
  <c r="H22" i="1" s="1"/>
  <c r="E24" i="1"/>
  <c r="G24" i="1" s="1"/>
  <c r="H24" i="1" s="1"/>
  <c r="E26" i="1"/>
  <c r="G26" i="1" s="1"/>
  <c r="H26" i="1" s="1"/>
  <c r="E28" i="1"/>
  <c r="G28" i="1" s="1"/>
  <c r="H28" i="1" s="1"/>
  <c r="E30" i="1"/>
  <c r="G30" i="1" s="1"/>
  <c r="H30" i="1" s="1"/>
  <c r="E32" i="1"/>
  <c r="E34" i="1"/>
  <c r="G34" i="1" s="1"/>
  <c r="H34" i="1" s="1"/>
  <c r="E36" i="1"/>
  <c r="E38" i="1"/>
  <c r="G38" i="1" s="1"/>
  <c r="H38" i="1" s="1"/>
  <c r="E40" i="1"/>
  <c r="G40" i="1" s="1"/>
  <c r="H40" i="1" s="1"/>
  <c r="E42" i="1"/>
  <c r="G42" i="1" s="1"/>
  <c r="H42" i="1" s="1"/>
  <c r="E44" i="1"/>
  <c r="G44" i="1" s="1"/>
  <c r="H44" i="1" s="1"/>
  <c r="E46" i="1"/>
  <c r="G46" i="1" s="1"/>
  <c r="H46" i="1" s="1"/>
  <c r="E48" i="1"/>
  <c r="G48" i="1" s="1"/>
  <c r="H48" i="1" s="1"/>
  <c r="E50" i="1"/>
  <c r="G50" i="1" s="1"/>
  <c r="H50" i="1" s="1"/>
  <c r="E52" i="1"/>
  <c r="G52" i="1" s="1"/>
  <c r="H52" i="1" s="1"/>
  <c r="E54" i="1"/>
  <c r="G54" i="1" s="1"/>
  <c r="H54" i="1" s="1"/>
  <c r="E56" i="1"/>
  <c r="G56" i="1" s="1"/>
  <c r="H56" i="1" s="1"/>
  <c r="G2" i="1"/>
  <c r="H2" i="1" s="1"/>
  <c r="H53" i="1"/>
  <c r="H51" i="1"/>
  <c r="H49" i="1"/>
  <c r="H45" i="1"/>
  <c r="H43" i="1"/>
  <c r="H41" i="1"/>
  <c r="H35" i="1"/>
  <c r="H33" i="1"/>
  <c r="H29" i="1"/>
  <c r="H25" i="1"/>
  <c r="H23" i="1"/>
  <c r="H21" i="1"/>
  <c r="H19" i="1"/>
  <c r="H15" i="1"/>
  <c r="H13" i="1"/>
  <c r="H11" i="1"/>
  <c r="H7" i="1"/>
  <c r="H5" i="1"/>
  <c r="H3" i="1"/>
  <c r="O14" i="1" l="1"/>
  <c r="O18" i="1" s="1"/>
  <c r="O40" i="1"/>
  <c r="O22" i="1"/>
  <c r="O27" i="1" l="1"/>
  <c r="O26" i="1"/>
  <c r="O28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<sst xmlns="http://schemas.openxmlformats.org/spreadsheetml/2006/main" count="47" uniqueCount="44">
  <si>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</si>
  <si>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</si>
  <si>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</si>
  <si>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</si>
  <si>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</si>
  <si>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</si>
  <si>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</si>
  <si>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</si>
  <si>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</si>
  <si>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</si>
  <si>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</si>
  <si>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</si>
  <si>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</si>
  <si>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</si>
  <si>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</si>
  <si>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</si>
  <si>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</si>
  <si>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</si>
  <si>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</si>
  <si>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</si>
  <si>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</si>
  <si>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</si>
  <si>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</si>
  <si>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</si>
  <si>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</si>
  <si>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</si>
  <si>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</si>
  <si>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</si>
  <si>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</si>
  <si>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</si>
  <si>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</si>
  <si>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</si>
  <si>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</si>
  <si>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</si>
  <si>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</si>
  <si>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</si>
  <si>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</si>
  <si>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</si>
  <si>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</si>
  <si>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</si>
  <si>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</si>
  <si>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</si>
  <si>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Mutation</t>
  </si>
  <si>
    <t>Line_Coverage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</si>
</sst>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N26" sqref="N26"/>
    </sheetView>
  </sheetViews>
  <sheetFormatPr defaultRowHeight="15" x14ac:dyDescent="0.25"/>
  <cols>
    <col min="3" max="3" width="14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0</v>
      </c>
      <c r="B1" t="s">
        <v>1</v>
      </c>
      <c r="C1" t="s">
        <v>43</v>
      </c>
      <c r="D1" t="s">
        <v>42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 s="4">
        <v>1</v>
      </c>
      <c r="B2" s="4">
        <v>20</v>
      </c>
      <c r="C2">
        <v>96.078431372549019</v>
      </c>
      <c r="D2">
        <v>96.774193548387103</v>
      </c>
      <c r="E2" s="2">
        <f>IF(C2="","",_xlfn.RANK.AVG(C2,C$2:C$56,1))</f>
        <v>8</v>
      </c>
      <c r="F2" s="2">
        <f t="shared" ref="F2:F56" si="0">IF(D2="","",_xlfn.RANK.AVG(D2,D$2:D$56,1))</f>
        <v>14</v>
      </c>
      <c r="G2" s="2">
        <f>IF(C2="","",E2-F2)</f>
        <v>-6</v>
      </c>
      <c r="H2" s="2">
        <f>IF(C2="","",G2^2)</f>
        <v>36</v>
      </c>
      <c r="M2" s="7" t="s">
        <v>34</v>
      </c>
    </row>
    <row r="3" spans="1:15" x14ac:dyDescent="0.25">
      <c r="A3" s="4">
        <v>2</v>
      </c>
      <c r="B3" s="4">
        <v>50</v>
      </c>
      <c r="C3">
        <v>100</v>
      </c>
      <c r="D3">
        <v>100</v>
      </c>
      <c r="E3" s="2">
        <f t="shared" ref="E3:E56" si="1">IF(C3="","",_xlfn.RANK.AVG(C3,C$2:C$56,1))</f>
        <v>17.5</v>
      </c>
      <c r="F3" s="2">
        <f t="shared" si="0"/>
        <v>20</v>
      </c>
      <c r="G3" s="2">
        <f t="shared" ref="G3:G56" si="2">IF(C3="","",E3-F3)</f>
        <v>-2.5</v>
      </c>
      <c r="H3" s="2">
        <f t="shared" ref="H3:H56" si="3">IF(C3="","",G3^2)</f>
        <v>6.25</v>
      </c>
      <c r="M3" s="1" t="s">
        <v>35</v>
      </c>
    </row>
    <row r="4" spans="1:15" x14ac:dyDescent="0.25">
      <c r="A4" s="4">
        <v>5</v>
      </c>
      <c r="B4" s="4">
        <v>80</v>
      </c>
      <c r="C4">
        <v>100</v>
      </c>
      <c r="D4">
        <v>97.61904761904762</v>
      </c>
      <c r="E4" s="2">
        <f t="shared" si="1"/>
        <v>17.5</v>
      </c>
      <c r="F4" s="2">
        <f t="shared" si="0"/>
        <v>16</v>
      </c>
      <c r="G4" s="2">
        <f t="shared" si="2"/>
        <v>1.5</v>
      </c>
      <c r="H4" s="2">
        <f t="shared" si="3"/>
        <v>2.25</v>
      </c>
    </row>
    <row r="5" spans="1:15" x14ac:dyDescent="0.25">
      <c r="A5" s="4">
        <v>1</v>
      </c>
      <c r="B5" s="4">
        <v>15</v>
      </c>
      <c r="C5">
        <v>100</v>
      </c>
      <c r="D5">
        <v>25</v>
      </c>
      <c r="E5" s="2">
        <f t="shared" si="1"/>
        <v>17.5</v>
      </c>
      <c r="F5" s="2">
        <f t="shared" si="0"/>
        <v>2.5</v>
      </c>
      <c r="G5" s="2">
        <f t="shared" si="2"/>
        <v>15</v>
      </c>
      <c r="H5" s="2">
        <f t="shared" si="3"/>
        <v>225</v>
      </c>
      <c r="M5" s="3" t="s">
        <v>7</v>
      </c>
      <c r="N5" t="s">
        <v>33</v>
      </c>
    </row>
    <row r="6" spans="1:15" x14ac:dyDescent="0.25">
      <c r="A6" s="4">
        <v>1</v>
      </c>
      <c r="B6" s="4">
        <v>40</v>
      </c>
      <c r="C6">
        <v>100</v>
      </c>
      <c r="D6">
        <v>100</v>
      </c>
      <c r="E6" s="2">
        <f t="shared" si="1"/>
        <v>17.5</v>
      </c>
      <c r="F6" s="2">
        <f t="shared" si="0"/>
        <v>20</v>
      </c>
      <c r="G6" s="2">
        <f t="shared" si="2"/>
        <v>-2.5</v>
      </c>
      <c r="H6" s="2">
        <f t="shared" si="3"/>
        <v>6.25</v>
      </c>
      <c r="N6" s="1" t="s">
        <v>8</v>
      </c>
    </row>
    <row r="7" spans="1:15" x14ac:dyDescent="0.25">
      <c r="A7" s="4">
        <v>5</v>
      </c>
      <c r="B7" s="4">
        <v>85</v>
      </c>
      <c r="C7">
        <v>100</v>
      </c>
      <c r="D7">
        <v>100</v>
      </c>
      <c r="E7" s="2">
        <f t="shared" si="1"/>
        <v>17.5</v>
      </c>
      <c r="F7" s="2">
        <f t="shared" si="0"/>
        <v>20</v>
      </c>
      <c r="G7" s="2">
        <f t="shared" si="2"/>
        <v>-2.5</v>
      </c>
      <c r="H7" s="2">
        <f t="shared" si="3"/>
        <v>6.25</v>
      </c>
      <c r="N7" t="s">
        <v>2</v>
      </c>
      <c r="O7" s="2">
        <f>COUNT(C:C)</f>
        <v>23</v>
      </c>
    </row>
    <row r="8" spans="1:15" x14ac:dyDescent="0.25">
      <c r="A8" s="4">
        <v>3</v>
      </c>
      <c r="B8" s="4">
        <v>30</v>
      </c>
      <c r="C8">
        <v>100</v>
      </c>
      <c r="D8">
        <v>97.222222222222229</v>
      </c>
      <c r="E8" s="2">
        <f t="shared" si="1"/>
        <v>17.5</v>
      </c>
      <c r="F8" s="2">
        <f t="shared" si="0"/>
        <v>15</v>
      </c>
      <c r="G8" s="2">
        <f t="shared" si="2"/>
        <v>2.5</v>
      </c>
      <c r="H8" s="2">
        <f t="shared" si="3"/>
        <v>6.25</v>
      </c>
    </row>
    <row r="9" spans="1:15" x14ac:dyDescent="0.25">
      <c r="A9" s="4">
        <v>1</v>
      </c>
      <c r="B9" s="4">
        <v>45</v>
      </c>
      <c r="C9">
        <v>94.811320754716974</v>
      </c>
      <c r="D9">
        <v>85.820895522388057</v>
      </c>
      <c r="E9" s="2">
        <f t="shared" si="1"/>
        <v>6</v>
      </c>
      <c r="F9" s="2">
        <f t="shared" si="0"/>
        <v>7</v>
      </c>
      <c r="G9" s="2">
        <f t="shared" si="2"/>
        <v>-1</v>
      </c>
      <c r="H9" s="2">
        <f t="shared" si="3"/>
        <v>1</v>
      </c>
      <c r="M9" s="3" t="s">
        <v>9</v>
      </c>
      <c r="N9" t="s">
        <v>10</v>
      </c>
    </row>
    <row r="10" spans="1:15" x14ac:dyDescent="0.25">
      <c r="A10" s="4">
        <v>5</v>
      </c>
      <c r="B10" s="4">
        <v>70</v>
      </c>
      <c r="C10">
        <v>90.625</v>
      </c>
      <c r="D10">
        <v>25</v>
      </c>
      <c r="E10" s="2">
        <f t="shared" si="1"/>
        <v>2</v>
      </c>
      <c r="F10" s="2">
        <f t="shared" si="0"/>
        <v>2.5</v>
      </c>
      <c r="G10" s="2">
        <f t="shared" si="2"/>
        <v>-0.5</v>
      </c>
      <c r="H10" s="2">
        <f t="shared" si="3"/>
        <v>0.25</v>
      </c>
      <c r="N10" s="1" t="s">
        <v>11</v>
      </c>
    </row>
    <row r="11" spans="1:15" x14ac:dyDescent="0.25">
      <c r="A11" s="4">
        <v>1</v>
      </c>
      <c r="B11" s="4">
        <v>60</v>
      </c>
      <c r="C11">
        <v>97.326203208556151</v>
      </c>
      <c r="D11">
        <v>92.666666666666671</v>
      </c>
      <c r="E11" s="2">
        <f t="shared" si="1"/>
        <v>10</v>
      </c>
      <c r="F11" s="2">
        <f t="shared" si="0"/>
        <v>11</v>
      </c>
      <c r="G11" s="2">
        <f t="shared" si="2"/>
        <v>-1</v>
      </c>
      <c r="H11" s="2">
        <f t="shared" si="3"/>
        <v>1</v>
      </c>
    </row>
    <row r="12" spans="1:15" x14ac:dyDescent="0.25">
      <c r="A12" s="4">
        <v>1</v>
      </c>
      <c r="B12" s="4"/>
      <c r="C12">
        <v>100</v>
      </c>
      <c r="D12">
        <v>94.117647058823536</v>
      </c>
      <c r="E12" s="2">
        <f t="shared" si="1"/>
        <v>17.5</v>
      </c>
      <c r="F12" s="2">
        <f t="shared" si="0"/>
        <v>12</v>
      </c>
      <c r="G12" s="2">
        <f t="shared" si="2"/>
        <v>5.5</v>
      </c>
      <c r="H12" s="2">
        <f t="shared" si="3"/>
        <v>30.25</v>
      </c>
      <c r="M12" s="3" t="s">
        <v>12</v>
      </c>
      <c r="N12" t="s">
        <v>13</v>
      </c>
    </row>
    <row r="13" spans="1:15" x14ac:dyDescent="0.25">
      <c r="A13" s="4">
        <v>5</v>
      </c>
      <c r="B13" s="4">
        <v>90</v>
      </c>
      <c r="C13">
        <v>100</v>
      </c>
      <c r="D13">
        <v>100</v>
      </c>
      <c r="E13" s="2">
        <f t="shared" si="1"/>
        <v>17.5</v>
      </c>
      <c r="F13" s="2">
        <f t="shared" si="0"/>
        <v>20</v>
      </c>
      <c r="G13" s="2">
        <f t="shared" si="2"/>
        <v>-2.5</v>
      </c>
      <c r="H13" s="2">
        <f t="shared" si="3"/>
        <v>6.25</v>
      </c>
    </row>
    <row r="14" spans="1:15" ht="18" x14ac:dyDescent="0.35">
      <c r="A14" s="4">
        <v>1</v>
      </c>
      <c r="B14" s="4">
        <v>25</v>
      </c>
      <c r="C14">
        <v>100</v>
      </c>
      <c r="D14">
        <v>25</v>
      </c>
      <c r="E14" s="2">
        <f t="shared" si="1"/>
        <v>17.5</v>
      </c>
      <c r="F14" s="2">
        <f t="shared" si="0"/>
        <v>2.5</v>
      </c>
      <c r="G14" s="2">
        <f t="shared" si="2"/>
        <v>15</v>
      </c>
      <c r="H14" s="2">
        <f t="shared" si="3"/>
        <v>225</v>
      </c>
      <c r="J14" s="5" t="s">
        <v>36</v>
      </c>
      <c r="K14" s="6">
        <f>SPEARMANRHO($A$2:$A$56,$B$2:$B$56,1)</f>
        <v>0.78719989512524047</v>
      </c>
      <c r="N14" t="s">
        <v>37</v>
      </c>
      <c r="O14" s="2">
        <f>CORREL(E:E,F:F)</f>
        <v>0.25017302249718337</v>
      </c>
    </row>
    <row r="15" spans="1:15" x14ac:dyDescent="0.25">
      <c r="A15" s="4">
        <v>1</v>
      </c>
      <c r="B15" s="4">
        <v>40</v>
      </c>
      <c r="C15">
        <v>96.610169491525426</v>
      </c>
      <c r="D15">
        <v>89.285714285714292</v>
      </c>
      <c r="E15" s="2">
        <f t="shared" si="1"/>
        <v>9</v>
      </c>
      <c r="F15" s="2">
        <f t="shared" si="0"/>
        <v>9</v>
      </c>
      <c r="G15" s="2">
        <f t="shared" si="2"/>
        <v>0</v>
      </c>
      <c r="H15" s="2">
        <f t="shared" si="3"/>
        <v>0</v>
      </c>
    </row>
    <row r="16" spans="1:15" x14ac:dyDescent="0.25">
      <c r="A16" s="4">
        <v>3</v>
      </c>
      <c r="B16" s="4">
        <v>70</v>
      </c>
      <c r="C16">
        <v>92.857142857142861</v>
      </c>
      <c r="D16">
        <v>100</v>
      </c>
      <c r="E16" s="2">
        <f t="shared" si="1"/>
        <v>5</v>
      </c>
      <c r="F16" s="2">
        <f t="shared" si="0"/>
        <v>20</v>
      </c>
      <c r="G16" s="2">
        <f t="shared" si="2"/>
        <v>-15</v>
      </c>
      <c r="H16" s="2">
        <f t="shared" si="3"/>
        <v>225</v>
      </c>
      <c r="M16" s="3" t="s">
        <v>14</v>
      </c>
      <c r="N16" t="s">
        <v>15</v>
      </c>
    </row>
    <row r="17" spans="1:16" x14ac:dyDescent="0.25">
      <c r="A17" s="4">
        <v>3</v>
      </c>
      <c r="B17" s="4">
        <v>65</v>
      </c>
      <c r="C17">
        <v>90.697674418604649</v>
      </c>
      <c r="D17">
        <v>77.477477477477478</v>
      </c>
      <c r="E17" s="2">
        <f t="shared" si="1"/>
        <v>3</v>
      </c>
      <c r="F17" s="2">
        <f t="shared" si="0"/>
        <v>6</v>
      </c>
      <c r="G17" s="2">
        <f t="shared" si="2"/>
        <v>-3</v>
      </c>
      <c r="H17" s="2">
        <f t="shared" si="3"/>
        <v>9</v>
      </c>
    </row>
    <row r="18" spans="1:16" x14ac:dyDescent="0.25">
      <c r="A18" s="4"/>
      <c r="B18" s="4"/>
      <c r="C18">
        <v>100</v>
      </c>
      <c r="D18">
        <v>100</v>
      </c>
      <c r="E18" s="2">
        <f t="shared" si="1"/>
        <v>17.5</v>
      </c>
      <c r="F18" s="2">
        <f t="shared" si="0"/>
        <v>20</v>
      </c>
      <c r="G18" s="2">
        <f t="shared" si="2"/>
        <v>-2.5</v>
      </c>
      <c r="H18" s="2">
        <f t="shared" si="3"/>
        <v>6.25</v>
      </c>
      <c r="J18" s="5" t="s">
        <v>36</v>
      </c>
      <c r="K18" s="6">
        <f>SPEARMANRHO($A$2:$A$56,$B$2:$B$56,2)</f>
        <v>8.657479252293248</v>
      </c>
      <c r="N18" t="s">
        <v>4</v>
      </c>
      <c r="O18" s="2">
        <f>O14*SQRT((O7-2)/(1-O14^2))</f>
        <v>1.1840895018041491</v>
      </c>
    </row>
    <row r="19" spans="1:16" x14ac:dyDescent="0.25">
      <c r="A19" s="4">
        <v>3</v>
      </c>
      <c r="B19" s="4">
        <v>70</v>
      </c>
      <c r="C19">
        <v>95.238095238095227</v>
      </c>
      <c r="D19">
        <v>40</v>
      </c>
      <c r="E19" s="2">
        <f t="shared" si="1"/>
        <v>7</v>
      </c>
      <c r="F19" s="2">
        <f t="shared" si="0"/>
        <v>5</v>
      </c>
      <c r="G19" s="2">
        <f t="shared" si="2"/>
        <v>2</v>
      </c>
      <c r="H19" s="2">
        <f t="shared" si="3"/>
        <v>4</v>
      </c>
    </row>
    <row r="20" spans="1:16" x14ac:dyDescent="0.25">
      <c r="A20" s="4">
        <v>4</v>
      </c>
      <c r="B20" s="4">
        <v>98</v>
      </c>
      <c r="C20">
        <v>100</v>
      </c>
      <c r="D20">
        <v>92.307692307692307</v>
      </c>
      <c r="E20" s="2">
        <f t="shared" si="1"/>
        <v>17.5</v>
      </c>
      <c r="F20" s="2">
        <f t="shared" si="0"/>
        <v>10</v>
      </c>
      <c r="G20" s="2">
        <f t="shared" si="2"/>
        <v>7.5</v>
      </c>
      <c r="H20" s="2">
        <f t="shared" si="3"/>
        <v>56.25</v>
      </c>
      <c r="M20" s="3" t="s">
        <v>16</v>
      </c>
      <c r="N20" t="s">
        <v>17</v>
      </c>
    </row>
    <row r="21" spans="1:16" x14ac:dyDescent="0.25">
      <c r="A21" s="4">
        <v>2</v>
      </c>
      <c r="B21" s="4">
        <v>40</v>
      </c>
      <c r="C21">
        <v>98.113207547169807</v>
      </c>
      <c r="D21">
        <v>96.666666666666671</v>
      </c>
      <c r="E21" s="2">
        <f t="shared" si="1"/>
        <v>11</v>
      </c>
      <c r="F21" s="2">
        <f t="shared" si="0"/>
        <v>13</v>
      </c>
      <c r="G21" s="2">
        <f t="shared" si="2"/>
        <v>-2</v>
      </c>
      <c r="H21" s="2">
        <f t="shared" si="3"/>
        <v>4</v>
      </c>
    </row>
    <row r="22" spans="1:16" x14ac:dyDescent="0.25">
      <c r="A22" s="4">
        <v>4</v>
      </c>
      <c r="B22" s="4">
        <v>65</v>
      </c>
      <c r="C22">
        <v>100</v>
      </c>
      <c r="D22">
        <v>25</v>
      </c>
      <c r="E22" s="2">
        <f t="shared" si="1"/>
        <v>17.5</v>
      </c>
      <c r="F22" s="2">
        <f t="shared" si="0"/>
        <v>2.5</v>
      </c>
      <c r="G22" s="2">
        <f t="shared" si="2"/>
        <v>15</v>
      </c>
      <c r="H22" s="2">
        <f t="shared" si="3"/>
        <v>225</v>
      </c>
      <c r="J22" s="5" t="s">
        <v>36</v>
      </c>
      <c r="K22" s="6">
        <f>SPEARMANRHO($A$2:$A$56,$B$2:$B$56,3)</f>
        <v>46</v>
      </c>
      <c r="N22" t="s">
        <v>5</v>
      </c>
      <c r="O22" s="2">
        <f>O7-2</f>
        <v>21</v>
      </c>
    </row>
    <row r="23" spans="1:16" x14ac:dyDescent="0.25">
      <c r="A23" s="4">
        <v>2</v>
      </c>
      <c r="B23" s="4">
        <v>60</v>
      </c>
      <c r="C23">
        <v>90.476190476190482</v>
      </c>
      <c r="D23">
        <v>88.888888888888886</v>
      </c>
      <c r="E23" s="2">
        <f t="shared" si="1"/>
        <v>1</v>
      </c>
      <c r="F23" s="2">
        <f t="shared" si="0"/>
        <v>8</v>
      </c>
      <c r="G23" s="2">
        <f t="shared" si="2"/>
        <v>-7</v>
      </c>
      <c r="H23" s="2">
        <f t="shared" si="3"/>
        <v>49</v>
      </c>
    </row>
    <row r="24" spans="1:16" x14ac:dyDescent="0.25">
      <c r="A24" s="4">
        <v>1</v>
      </c>
      <c r="B24" s="4">
        <v>35</v>
      </c>
      <c r="C24">
        <v>91.666666666666657</v>
      </c>
      <c r="D24">
        <v>100</v>
      </c>
      <c r="E24" s="2">
        <f t="shared" si="1"/>
        <v>4</v>
      </c>
      <c r="F24" s="2">
        <f t="shared" si="0"/>
        <v>20</v>
      </c>
      <c r="G24" s="2">
        <f t="shared" si="2"/>
        <v>-16</v>
      </c>
      <c r="H24" s="2">
        <f t="shared" si="3"/>
        <v>256</v>
      </c>
      <c r="M24" s="3" t="s">
        <v>18</v>
      </c>
      <c r="N24" t="s">
        <v>19</v>
      </c>
    </row>
    <row r="25" spans="1:16" x14ac:dyDescent="0.25">
      <c r="A25" s="4">
        <v>3</v>
      </c>
      <c r="B25" s="4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25">
      <c r="A26" s="4">
        <v>2</v>
      </c>
      <c r="B26" s="4">
        <v>50</v>
      </c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36</v>
      </c>
      <c r="K26" s="6">
        <f>SPEARMANRHO($A$2:$A$56,$B$2:$B$56)</f>
        <v>3.2363637932841663E-11</v>
      </c>
      <c r="N26" t="s">
        <v>6</v>
      </c>
      <c r="O26" s="2">
        <f>_xlfn.T.DIST.2T(ABS(O18),O22)</f>
        <v>0.24960743631804827</v>
      </c>
      <c r="P26" t="s">
        <v>20</v>
      </c>
    </row>
    <row r="27" spans="1:16" x14ac:dyDescent="0.25">
      <c r="A27" s="4">
        <v>2</v>
      </c>
      <c r="B27" s="4">
        <v>40</v>
      </c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>
        <f>TDIST(ABS(O18),O22,2)</f>
        <v>0.24960743631804827</v>
      </c>
      <c r="P27" t="s">
        <v>21</v>
      </c>
    </row>
    <row r="28" spans="1:16" x14ac:dyDescent="0.25">
      <c r="A28" s="4">
        <v>4</v>
      </c>
      <c r="B28" s="4">
        <v>75</v>
      </c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>
        <f>2*(1-_xlfn.T.DIST(ABS(O18),O22,TRUE))</f>
        <v>0.24960743631804827</v>
      </c>
      <c r="P28" t="s">
        <v>22</v>
      </c>
    </row>
    <row r="29" spans="1:16" x14ac:dyDescent="0.25">
      <c r="A29" s="4">
        <v>1</v>
      </c>
      <c r="B29" s="4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25">
      <c r="A30" s="4">
        <v>1</v>
      </c>
      <c r="B30" s="4">
        <v>65</v>
      </c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23</v>
      </c>
      <c r="N30" s="3" t="s">
        <v>24</v>
      </c>
    </row>
    <row r="31" spans="1:16" x14ac:dyDescent="0.25">
      <c r="A31" s="4">
        <v>3</v>
      </c>
      <c r="B31" s="4">
        <v>70</v>
      </c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25">
      <c r="A32" s="4">
        <v>1</v>
      </c>
      <c r="B32" s="4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25</v>
      </c>
      <c r="N32" t="s">
        <v>26</v>
      </c>
    </row>
    <row r="33" spans="1:15" x14ac:dyDescent="0.25">
      <c r="A33" s="4">
        <v>2</v>
      </c>
      <c r="B33" s="4">
        <v>20</v>
      </c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27</v>
      </c>
    </row>
    <row r="34" spans="1:15" x14ac:dyDescent="0.25">
      <c r="A34" s="4">
        <v>4</v>
      </c>
      <c r="B34" s="4">
        <v>80</v>
      </c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25">
      <c r="A35" s="4">
        <v>1</v>
      </c>
      <c r="B35" s="4">
        <v>35</v>
      </c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28</v>
      </c>
      <c r="N35" t="s">
        <v>29</v>
      </c>
    </row>
    <row r="36" spans="1:15" x14ac:dyDescent="0.25">
      <c r="A36" s="4">
        <v>5</v>
      </c>
      <c r="B36" s="4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30</v>
      </c>
    </row>
    <row r="37" spans="1:15" x14ac:dyDescent="0.25">
      <c r="A37" s="4">
        <v>4</v>
      </c>
      <c r="B37" s="4">
        <v>68</v>
      </c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25">
      <c r="A38" s="4">
        <v>2</v>
      </c>
      <c r="B38" s="4">
        <v>70</v>
      </c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31</v>
      </c>
      <c r="N38" t="s">
        <v>32</v>
      </c>
    </row>
    <row r="39" spans="1:15" x14ac:dyDescent="0.25">
      <c r="A39" s="4">
        <v>3</v>
      </c>
      <c r="B39" s="4">
        <v>60</v>
      </c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25">
      <c r="A40" s="4">
        <v>4</v>
      </c>
      <c r="B40" s="4">
        <v>70</v>
      </c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3</v>
      </c>
      <c r="O40" s="2">
        <f>6*SUM(H:H)/(O7*(O7^2-1))</f>
        <v>0.68502964426877466</v>
      </c>
    </row>
    <row r="41" spans="1:15" x14ac:dyDescent="0.25">
      <c r="A41" s="4">
        <v>1</v>
      </c>
      <c r="B41" s="4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25">
      <c r="A42" s="4">
        <v>2</v>
      </c>
      <c r="B42" s="4">
        <v>80</v>
      </c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25">
      <c r="A43" s="4">
        <v>5</v>
      </c>
      <c r="B43" s="4">
        <v>98</v>
      </c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25">
      <c r="A44" s="4">
        <v>1</v>
      </c>
      <c r="B44" s="4">
        <v>10</v>
      </c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25">
      <c r="A45" s="4">
        <v>1</v>
      </c>
      <c r="B45" s="4">
        <v>40</v>
      </c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25">
      <c r="A46" s="4">
        <v>3</v>
      </c>
      <c r="B46" s="4">
        <v>63</v>
      </c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25">
      <c r="A47" s="4">
        <v>3</v>
      </c>
      <c r="B47" s="4">
        <v>75</v>
      </c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25">
      <c r="A48" s="4">
        <v>3</v>
      </c>
      <c r="B48" s="4">
        <v>80</v>
      </c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25">
      <c r="A49" s="4">
        <v>1</v>
      </c>
      <c r="B49" s="4">
        <v>40</v>
      </c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25">
      <c r="A50" s="4">
        <v>4</v>
      </c>
      <c r="B50" s="4">
        <v>90</v>
      </c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25">
      <c r="A51" s="4">
        <v>3</v>
      </c>
      <c r="B51" s="4">
        <v>100</v>
      </c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25">
      <c r="A52" s="4">
        <v>1</v>
      </c>
      <c r="B52" s="4">
        <v>33</v>
      </c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25">
      <c r="A53" s="4">
        <v>1</v>
      </c>
      <c r="B53" s="4">
        <v>36</v>
      </c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25">
      <c r="A54" s="4">
        <v>2</v>
      </c>
      <c r="B54" s="4">
        <v>65</v>
      </c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25">
      <c r="A55" s="4">
        <v>3</v>
      </c>
      <c r="B55" s="4">
        <v>78</v>
      </c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25">
      <c r="A56" s="4">
        <v>1</v>
      </c>
      <c r="B56" s="4">
        <v>50</v>
      </c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2019-04-13T03:39:12Z</dcterms:modified>
</cp:coreProperties>
</file>