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43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_arma\Desktop\DataWithMutation_Corr\Correlation 5&amp;6\"/>
    </mc:Choice>
  </mc:AlternateContent>
  <xr:revisionPtr revIDLastSave="0" documentId="8_{8EDC1FD5-C9A9-4A04-899A-0672DD2B8E98}" xr6:coauthVersionLast="36" xr6:coauthVersionMax="36" xr10:uidLastSave="{00000000-0000-0000-0000-000000000000}"/>
  <bookViews>
    <workbookView xWindow="0" yWindow="0" windowWidth="17685" windowHeight="9120" xr2:uid="{00000000-000D-0000-FFFF-FFFF00000000}"/>
  </bookViews>
  <sheets>
    <sheet name="SpearmanRho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7" i="1" l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D56" i="1" l="1"/>
  <c r="C56" i="1"/>
  <c r="D55" i="1"/>
  <c r="C55" i="1"/>
  <c r="D54" i="1"/>
  <c r="C54" i="1"/>
  <c r="D53" i="1"/>
  <c r="C53" i="1"/>
  <c r="D52" i="1"/>
  <c r="C52" i="1"/>
  <c r="D51" i="1"/>
  <c r="C51" i="1"/>
  <c r="D50" i="1"/>
  <c r="C50" i="1"/>
  <c r="D49" i="1"/>
  <c r="C49" i="1"/>
  <c r="D48" i="1"/>
  <c r="C48" i="1"/>
  <c r="D47" i="1"/>
  <c r="C47" i="1"/>
  <c r="D46" i="1"/>
  <c r="C46" i="1"/>
  <c r="D45" i="1"/>
  <c r="C45" i="1"/>
  <c r="D44" i="1"/>
  <c r="C44" i="1"/>
  <c r="D43" i="1"/>
  <c r="C43" i="1"/>
  <c r="D42" i="1"/>
  <c r="C42" i="1"/>
  <c r="D41" i="1"/>
  <c r="C41" i="1"/>
  <c r="D40" i="1"/>
  <c r="C40" i="1"/>
  <c r="D39" i="1"/>
  <c r="C39" i="1"/>
  <c r="D38" i="1"/>
  <c r="C38" i="1"/>
  <c r="D37" i="1"/>
  <c r="C37" i="1"/>
  <c r="D36" i="1"/>
  <c r="C36" i="1"/>
  <c r="D35" i="1"/>
  <c r="C35" i="1"/>
  <c r="D34" i="1"/>
  <c r="C34" i="1"/>
  <c r="D33" i="1"/>
  <c r="C33" i="1"/>
  <c r="D32" i="1"/>
  <c r="C32" i="1"/>
  <c r="D31" i="1"/>
  <c r="C31" i="1"/>
  <c r="D30" i="1"/>
  <c r="C30" i="1"/>
  <c r="D29" i="1"/>
  <c r="C29" i="1"/>
  <c r="D28" i="1"/>
  <c r="C28" i="1"/>
  <c r="D27" i="1"/>
  <c r="C27" i="1"/>
  <c r="D26" i="1"/>
  <c r="C26" i="1"/>
  <c r="D25" i="1"/>
  <c r="C25" i="1"/>
  <c r="D24" i="1"/>
  <c r="C24" i="1"/>
  <c r="D23" i="1"/>
  <c r="C23" i="1"/>
  <c r="D22" i="1"/>
  <c r="C22" i="1"/>
  <c r="D21" i="1"/>
  <c r="C21" i="1"/>
  <c r="D20" i="1"/>
  <c r="C20" i="1"/>
  <c r="D19" i="1"/>
  <c r="C19" i="1"/>
  <c r="D18" i="1"/>
  <c r="C18" i="1"/>
  <c r="D17" i="1"/>
  <c r="C17" i="1"/>
  <c r="D16" i="1"/>
  <c r="C16" i="1"/>
  <c r="D15" i="1"/>
  <c r="C15" i="1"/>
  <c r="D14" i="1"/>
  <c r="C14" i="1"/>
  <c r="D13" i="1"/>
  <c r="C13" i="1"/>
  <c r="E59" i="1" l="1"/>
  <c r="E63" i="1"/>
  <c r="E67" i="1"/>
  <c r="E71" i="1"/>
  <c r="E75" i="1"/>
  <c r="E79" i="1"/>
  <c r="E83" i="1"/>
  <c r="E87" i="1"/>
  <c r="E91" i="1"/>
  <c r="E95" i="1"/>
  <c r="E99" i="1"/>
  <c r="E103" i="1"/>
  <c r="E107" i="1"/>
  <c r="E111" i="1"/>
  <c r="E115" i="1"/>
  <c r="E119" i="1"/>
  <c r="E123" i="1"/>
  <c r="E127" i="1"/>
  <c r="E131" i="1"/>
  <c r="E135" i="1"/>
  <c r="E139" i="1"/>
  <c r="E143" i="1"/>
  <c r="E147" i="1"/>
  <c r="E151" i="1"/>
  <c r="E155" i="1"/>
  <c r="E159" i="1"/>
  <c r="E163" i="1"/>
  <c r="E167" i="1"/>
  <c r="E171" i="1"/>
  <c r="E175" i="1"/>
  <c r="E179" i="1"/>
  <c r="E183" i="1"/>
  <c r="E187" i="1"/>
  <c r="E191" i="1"/>
  <c r="E195" i="1"/>
  <c r="E199" i="1"/>
  <c r="E203" i="1"/>
  <c r="E207" i="1"/>
  <c r="E211" i="1"/>
  <c r="E60" i="1"/>
  <c r="E64" i="1"/>
  <c r="E68" i="1"/>
  <c r="E72" i="1"/>
  <c r="E76" i="1"/>
  <c r="E80" i="1"/>
  <c r="E84" i="1"/>
  <c r="E88" i="1"/>
  <c r="E92" i="1"/>
  <c r="E96" i="1"/>
  <c r="E100" i="1"/>
  <c r="E104" i="1"/>
  <c r="E108" i="1"/>
  <c r="E112" i="1"/>
  <c r="E116" i="1"/>
  <c r="E120" i="1"/>
  <c r="E124" i="1"/>
  <c r="E128" i="1"/>
  <c r="E132" i="1"/>
  <c r="E136" i="1"/>
  <c r="E140" i="1"/>
  <c r="E144" i="1"/>
  <c r="E148" i="1"/>
  <c r="E152" i="1"/>
  <c r="E156" i="1"/>
  <c r="E160" i="1"/>
  <c r="E164" i="1"/>
  <c r="E168" i="1"/>
  <c r="E172" i="1"/>
  <c r="E176" i="1"/>
  <c r="E180" i="1"/>
  <c r="E184" i="1"/>
  <c r="E188" i="1"/>
  <c r="E57" i="1"/>
  <c r="E61" i="1"/>
  <c r="E65" i="1"/>
  <c r="E69" i="1"/>
  <c r="E73" i="1"/>
  <c r="E77" i="1"/>
  <c r="E81" i="1"/>
  <c r="E85" i="1"/>
  <c r="E89" i="1"/>
  <c r="E93" i="1"/>
  <c r="E97" i="1"/>
  <c r="E101" i="1"/>
  <c r="E105" i="1"/>
  <c r="E109" i="1"/>
  <c r="E113" i="1"/>
  <c r="E117" i="1"/>
  <c r="E121" i="1"/>
  <c r="E125" i="1"/>
  <c r="E129" i="1"/>
  <c r="E133" i="1"/>
  <c r="E137" i="1"/>
  <c r="E141" i="1"/>
  <c r="E145" i="1"/>
  <c r="E149" i="1"/>
  <c r="E153" i="1"/>
  <c r="E58" i="1"/>
  <c r="E74" i="1"/>
  <c r="E90" i="1"/>
  <c r="E106" i="1"/>
  <c r="E122" i="1"/>
  <c r="E138" i="1"/>
  <c r="E154" i="1"/>
  <c r="E162" i="1"/>
  <c r="E170" i="1"/>
  <c r="E178" i="1"/>
  <c r="E186" i="1"/>
  <c r="E193" i="1"/>
  <c r="E198" i="1"/>
  <c r="E204" i="1"/>
  <c r="E209" i="1"/>
  <c r="E214" i="1"/>
  <c r="E218" i="1"/>
  <c r="E222" i="1"/>
  <c r="E226" i="1"/>
  <c r="E230" i="1"/>
  <c r="E234" i="1"/>
  <c r="E238" i="1"/>
  <c r="E242" i="1"/>
  <c r="E246" i="1"/>
  <c r="E250" i="1"/>
  <c r="E254" i="1"/>
  <c r="E258" i="1"/>
  <c r="E262" i="1"/>
  <c r="E266" i="1"/>
  <c r="E270" i="1"/>
  <c r="E274" i="1"/>
  <c r="E278" i="1"/>
  <c r="E282" i="1"/>
  <c r="E286" i="1"/>
  <c r="E290" i="1"/>
  <c r="E294" i="1"/>
  <c r="E298" i="1"/>
  <c r="E302" i="1"/>
  <c r="E306" i="1"/>
  <c r="E16" i="1"/>
  <c r="E20" i="1"/>
  <c r="E24" i="1"/>
  <c r="E28" i="1"/>
  <c r="E32" i="1"/>
  <c r="E36" i="1"/>
  <c r="E40" i="1"/>
  <c r="E44" i="1"/>
  <c r="E48" i="1"/>
  <c r="E52" i="1"/>
  <c r="E56" i="1"/>
  <c r="E102" i="1"/>
  <c r="E150" i="1"/>
  <c r="E177" i="1"/>
  <c r="E197" i="1"/>
  <c r="E213" i="1"/>
  <c r="E225" i="1"/>
  <c r="E237" i="1"/>
  <c r="E249" i="1"/>
  <c r="E261" i="1"/>
  <c r="E273" i="1"/>
  <c r="E285" i="1"/>
  <c r="E297" i="1"/>
  <c r="E23" i="1"/>
  <c r="E35" i="1"/>
  <c r="E47" i="1"/>
  <c r="E62" i="1"/>
  <c r="E78" i="1"/>
  <c r="E94" i="1"/>
  <c r="E110" i="1"/>
  <c r="E126" i="1"/>
  <c r="E142" i="1"/>
  <c r="E157" i="1"/>
  <c r="E165" i="1"/>
  <c r="E173" i="1"/>
  <c r="E181" i="1"/>
  <c r="E189" i="1"/>
  <c r="E194" i="1"/>
  <c r="E200" i="1"/>
  <c r="E205" i="1"/>
  <c r="E210" i="1"/>
  <c r="E215" i="1"/>
  <c r="E219" i="1"/>
  <c r="E223" i="1"/>
  <c r="E227" i="1"/>
  <c r="E231" i="1"/>
  <c r="E235" i="1"/>
  <c r="E239" i="1"/>
  <c r="E243" i="1"/>
  <c r="E247" i="1"/>
  <c r="E251" i="1"/>
  <c r="E255" i="1"/>
  <c r="E259" i="1"/>
  <c r="E263" i="1"/>
  <c r="E267" i="1"/>
  <c r="E271" i="1"/>
  <c r="E275" i="1"/>
  <c r="E279" i="1"/>
  <c r="E283" i="1"/>
  <c r="E287" i="1"/>
  <c r="E291" i="1"/>
  <c r="E295" i="1"/>
  <c r="E299" i="1"/>
  <c r="E303" i="1"/>
  <c r="E17" i="1"/>
  <c r="E21" i="1"/>
  <c r="E25" i="1"/>
  <c r="E29" i="1"/>
  <c r="E33" i="1"/>
  <c r="E37" i="1"/>
  <c r="E41" i="1"/>
  <c r="E45" i="1"/>
  <c r="E49" i="1"/>
  <c r="E53" i="1"/>
  <c r="E86" i="1"/>
  <c r="E134" i="1"/>
  <c r="E161" i="1"/>
  <c r="E185" i="1"/>
  <c r="E202" i="1"/>
  <c r="E217" i="1"/>
  <c r="E229" i="1"/>
  <c r="E241" i="1"/>
  <c r="E253" i="1"/>
  <c r="E265" i="1"/>
  <c r="E277" i="1"/>
  <c r="E289" i="1"/>
  <c r="E301" i="1"/>
  <c r="E15" i="1"/>
  <c r="E31" i="1"/>
  <c r="E43" i="1"/>
  <c r="E55" i="1"/>
  <c r="E66" i="1"/>
  <c r="E82" i="1"/>
  <c r="E98" i="1"/>
  <c r="E114" i="1"/>
  <c r="E130" i="1"/>
  <c r="E146" i="1"/>
  <c r="E158" i="1"/>
  <c r="E166" i="1"/>
  <c r="E174" i="1"/>
  <c r="E182" i="1"/>
  <c r="E190" i="1"/>
  <c r="E196" i="1"/>
  <c r="E201" i="1"/>
  <c r="E206" i="1"/>
  <c r="E212" i="1"/>
  <c r="E216" i="1"/>
  <c r="E220" i="1"/>
  <c r="E224" i="1"/>
  <c r="E228" i="1"/>
  <c r="E232" i="1"/>
  <c r="E236" i="1"/>
  <c r="E240" i="1"/>
  <c r="E244" i="1"/>
  <c r="E248" i="1"/>
  <c r="E252" i="1"/>
  <c r="E256" i="1"/>
  <c r="E260" i="1"/>
  <c r="E264" i="1"/>
  <c r="E268" i="1"/>
  <c r="E272" i="1"/>
  <c r="E276" i="1"/>
  <c r="E280" i="1"/>
  <c r="E284" i="1"/>
  <c r="E288" i="1"/>
  <c r="E292" i="1"/>
  <c r="E296" i="1"/>
  <c r="E300" i="1"/>
  <c r="E304" i="1"/>
  <c r="E18" i="1"/>
  <c r="E22" i="1"/>
  <c r="E26" i="1"/>
  <c r="E30" i="1"/>
  <c r="E34" i="1"/>
  <c r="E38" i="1"/>
  <c r="E42" i="1"/>
  <c r="E46" i="1"/>
  <c r="E50" i="1"/>
  <c r="E54" i="1"/>
  <c r="E70" i="1"/>
  <c r="E118" i="1"/>
  <c r="E169" i="1"/>
  <c r="E192" i="1"/>
  <c r="E208" i="1"/>
  <c r="E221" i="1"/>
  <c r="E233" i="1"/>
  <c r="E245" i="1"/>
  <c r="E257" i="1"/>
  <c r="E269" i="1"/>
  <c r="E281" i="1"/>
  <c r="E293" i="1"/>
  <c r="E305" i="1"/>
  <c r="E19" i="1"/>
  <c r="E27" i="1"/>
  <c r="E39" i="1"/>
  <c r="E51" i="1"/>
  <c r="F59" i="1"/>
  <c r="F63" i="1"/>
  <c r="F67" i="1"/>
  <c r="F71" i="1"/>
  <c r="F75" i="1"/>
  <c r="F79" i="1"/>
  <c r="F83" i="1"/>
  <c r="F87" i="1"/>
  <c r="F91" i="1"/>
  <c r="F95" i="1"/>
  <c r="F99" i="1"/>
  <c r="F103" i="1"/>
  <c r="F107" i="1"/>
  <c r="F111" i="1"/>
  <c r="F115" i="1"/>
  <c r="F119" i="1"/>
  <c r="F123" i="1"/>
  <c r="F127" i="1"/>
  <c r="F131" i="1"/>
  <c r="F135" i="1"/>
  <c r="F139" i="1"/>
  <c r="F143" i="1"/>
  <c r="F147" i="1"/>
  <c r="F60" i="1"/>
  <c r="F64" i="1"/>
  <c r="F68" i="1"/>
  <c r="F72" i="1"/>
  <c r="F76" i="1"/>
  <c r="F80" i="1"/>
  <c r="F84" i="1"/>
  <c r="F88" i="1"/>
  <c r="F92" i="1"/>
  <c r="F96" i="1"/>
  <c r="F100" i="1"/>
  <c r="F104" i="1"/>
  <c r="F108" i="1"/>
  <c r="F112" i="1"/>
  <c r="F116" i="1"/>
  <c r="F120" i="1"/>
  <c r="F124" i="1"/>
  <c r="F128" i="1"/>
  <c r="F132" i="1"/>
  <c r="F136" i="1"/>
  <c r="F140" i="1"/>
  <c r="F144" i="1"/>
  <c r="F148" i="1"/>
  <c r="F57" i="1"/>
  <c r="F61" i="1"/>
  <c r="F65" i="1"/>
  <c r="F69" i="1"/>
  <c r="F73" i="1"/>
  <c r="F77" i="1"/>
  <c r="F81" i="1"/>
  <c r="F85" i="1"/>
  <c r="F89" i="1"/>
  <c r="F93" i="1"/>
  <c r="F97" i="1"/>
  <c r="F101" i="1"/>
  <c r="F105" i="1"/>
  <c r="F109" i="1"/>
  <c r="F113" i="1"/>
  <c r="F117" i="1"/>
  <c r="F121" i="1"/>
  <c r="F125" i="1"/>
  <c r="F129" i="1"/>
  <c r="F133" i="1"/>
  <c r="F137" i="1"/>
  <c r="F141" i="1"/>
  <c r="F145" i="1"/>
  <c r="F70" i="1"/>
  <c r="F86" i="1"/>
  <c r="F102" i="1"/>
  <c r="F118" i="1"/>
  <c r="F134" i="1"/>
  <c r="F149" i="1"/>
  <c r="F153" i="1"/>
  <c r="F157" i="1"/>
  <c r="F161" i="1"/>
  <c r="F165" i="1"/>
  <c r="F169" i="1"/>
  <c r="F173" i="1"/>
  <c r="F177" i="1"/>
  <c r="F181" i="1"/>
  <c r="F185" i="1"/>
  <c r="F189" i="1"/>
  <c r="F193" i="1"/>
  <c r="F197" i="1"/>
  <c r="F201" i="1"/>
  <c r="F205" i="1"/>
  <c r="F209" i="1"/>
  <c r="F213" i="1"/>
  <c r="F217" i="1"/>
  <c r="F221" i="1"/>
  <c r="F225" i="1"/>
  <c r="F229" i="1"/>
  <c r="F233" i="1"/>
  <c r="F237" i="1"/>
  <c r="F241" i="1"/>
  <c r="F245" i="1"/>
  <c r="F249" i="1"/>
  <c r="F253" i="1"/>
  <c r="F257" i="1"/>
  <c r="F261" i="1"/>
  <c r="F265" i="1"/>
  <c r="F269" i="1"/>
  <c r="F273" i="1"/>
  <c r="F277" i="1"/>
  <c r="F281" i="1"/>
  <c r="F285" i="1"/>
  <c r="F289" i="1"/>
  <c r="F293" i="1"/>
  <c r="F297" i="1"/>
  <c r="F301" i="1"/>
  <c r="F305" i="1"/>
  <c r="F58" i="1"/>
  <c r="F74" i="1"/>
  <c r="F90" i="1"/>
  <c r="F106" i="1"/>
  <c r="F122" i="1"/>
  <c r="F138" i="1"/>
  <c r="F150" i="1"/>
  <c r="F154" i="1"/>
  <c r="F158" i="1"/>
  <c r="F162" i="1"/>
  <c r="F166" i="1"/>
  <c r="F170" i="1"/>
  <c r="F174" i="1"/>
  <c r="F178" i="1"/>
  <c r="F182" i="1"/>
  <c r="F186" i="1"/>
  <c r="F190" i="1"/>
  <c r="F194" i="1"/>
  <c r="F198" i="1"/>
  <c r="F202" i="1"/>
  <c r="F206" i="1"/>
  <c r="F210" i="1"/>
  <c r="F214" i="1"/>
  <c r="F218" i="1"/>
  <c r="F222" i="1"/>
  <c r="F226" i="1"/>
  <c r="F230" i="1"/>
  <c r="F234" i="1"/>
  <c r="F238" i="1"/>
  <c r="F242" i="1"/>
  <c r="F246" i="1"/>
  <c r="F250" i="1"/>
  <c r="F254" i="1"/>
  <c r="F258" i="1"/>
  <c r="F262" i="1"/>
  <c r="F266" i="1"/>
  <c r="F270" i="1"/>
  <c r="F274" i="1"/>
  <c r="F278" i="1"/>
  <c r="F282" i="1"/>
  <c r="F286" i="1"/>
  <c r="F290" i="1"/>
  <c r="F294" i="1"/>
  <c r="F298" i="1"/>
  <c r="F302" i="1"/>
  <c r="F306" i="1"/>
  <c r="F62" i="1"/>
  <c r="F78" i="1"/>
  <c r="F94" i="1"/>
  <c r="F110" i="1"/>
  <c r="F126" i="1"/>
  <c r="F142" i="1"/>
  <c r="F151" i="1"/>
  <c r="F155" i="1"/>
  <c r="F159" i="1"/>
  <c r="F163" i="1"/>
  <c r="F167" i="1"/>
  <c r="F171" i="1"/>
  <c r="F175" i="1"/>
  <c r="F179" i="1"/>
  <c r="F183" i="1"/>
  <c r="F187" i="1"/>
  <c r="F191" i="1"/>
  <c r="F195" i="1"/>
  <c r="F199" i="1"/>
  <c r="F203" i="1"/>
  <c r="F207" i="1"/>
  <c r="F211" i="1"/>
  <c r="F215" i="1"/>
  <c r="F219" i="1"/>
  <c r="F223" i="1"/>
  <c r="F227" i="1"/>
  <c r="F231" i="1"/>
  <c r="F235" i="1"/>
  <c r="F239" i="1"/>
  <c r="F243" i="1"/>
  <c r="F247" i="1"/>
  <c r="F251" i="1"/>
  <c r="F255" i="1"/>
  <c r="F259" i="1"/>
  <c r="F263" i="1"/>
  <c r="F267" i="1"/>
  <c r="F271" i="1"/>
  <c r="F275" i="1"/>
  <c r="F279" i="1"/>
  <c r="F283" i="1"/>
  <c r="F287" i="1"/>
  <c r="F291" i="1"/>
  <c r="F295" i="1"/>
  <c r="F299" i="1"/>
  <c r="F303" i="1"/>
  <c r="F82" i="1"/>
  <c r="F146" i="1"/>
  <c r="F164" i="1"/>
  <c r="F180" i="1"/>
  <c r="F196" i="1"/>
  <c r="F212" i="1"/>
  <c r="F228" i="1"/>
  <c r="F244" i="1"/>
  <c r="F260" i="1"/>
  <c r="F276" i="1"/>
  <c r="F292" i="1"/>
  <c r="F18" i="1"/>
  <c r="F22" i="1"/>
  <c r="F26" i="1"/>
  <c r="F30" i="1"/>
  <c r="F34" i="1"/>
  <c r="F38" i="1"/>
  <c r="F42" i="1"/>
  <c r="F46" i="1"/>
  <c r="F50" i="1"/>
  <c r="F54" i="1"/>
  <c r="F192" i="1"/>
  <c r="F256" i="1"/>
  <c r="F304" i="1"/>
  <c r="F21" i="1"/>
  <c r="F29" i="1"/>
  <c r="F37" i="1"/>
  <c r="F49" i="1"/>
  <c r="F98" i="1"/>
  <c r="F152" i="1"/>
  <c r="F168" i="1"/>
  <c r="F184" i="1"/>
  <c r="F200" i="1"/>
  <c r="F216" i="1"/>
  <c r="F232" i="1"/>
  <c r="F248" i="1"/>
  <c r="F264" i="1"/>
  <c r="F280" i="1"/>
  <c r="F296" i="1"/>
  <c r="F15" i="1"/>
  <c r="F19" i="1"/>
  <c r="F23" i="1"/>
  <c r="F27" i="1"/>
  <c r="F31" i="1"/>
  <c r="F35" i="1"/>
  <c r="F39" i="1"/>
  <c r="F43" i="1"/>
  <c r="F47" i="1"/>
  <c r="F51" i="1"/>
  <c r="F55" i="1"/>
  <c r="F176" i="1"/>
  <c r="F240" i="1"/>
  <c r="F288" i="1"/>
  <c r="F25" i="1"/>
  <c r="F41" i="1"/>
  <c r="F53" i="1"/>
  <c r="F114" i="1"/>
  <c r="F156" i="1"/>
  <c r="F172" i="1"/>
  <c r="F188" i="1"/>
  <c r="F204" i="1"/>
  <c r="F220" i="1"/>
  <c r="F236" i="1"/>
  <c r="F252" i="1"/>
  <c r="F268" i="1"/>
  <c r="F284" i="1"/>
  <c r="F300" i="1"/>
  <c r="F16" i="1"/>
  <c r="F20" i="1"/>
  <c r="F24" i="1"/>
  <c r="F28" i="1"/>
  <c r="F32" i="1"/>
  <c r="F36" i="1"/>
  <c r="F40" i="1"/>
  <c r="F44" i="1"/>
  <c r="F48" i="1"/>
  <c r="F52" i="1"/>
  <c r="F56" i="1"/>
  <c r="F66" i="1"/>
  <c r="F130" i="1"/>
  <c r="F160" i="1"/>
  <c r="F208" i="1"/>
  <c r="F224" i="1"/>
  <c r="F272" i="1"/>
  <c r="F17" i="1"/>
  <c r="F33" i="1"/>
  <c r="F45" i="1"/>
  <c r="G51" i="1" l="1"/>
  <c r="H51" i="1" s="1"/>
  <c r="G46" i="1"/>
  <c r="H46" i="1" s="1"/>
  <c r="G30" i="1"/>
  <c r="H30" i="1" s="1"/>
  <c r="G292" i="1"/>
  <c r="H292" i="1" s="1"/>
  <c r="G276" i="1"/>
  <c r="H276" i="1" s="1"/>
  <c r="G244" i="1"/>
  <c r="H244" i="1" s="1"/>
  <c r="G228" i="1"/>
  <c r="H228" i="1" s="1"/>
  <c r="G212" i="1"/>
  <c r="H212" i="1" s="1"/>
  <c r="G190" i="1"/>
  <c r="H190" i="1" s="1"/>
  <c r="G158" i="1"/>
  <c r="H158" i="1" s="1"/>
  <c r="G98" i="1"/>
  <c r="H98" i="1" s="1"/>
  <c r="G43" i="1"/>
  <c r="H43" i="1" s="1"/>
  <c r="G185" i="1"/>
  <c r="H185" i="1" s="1"/>
  <c r="G53" i="1"/>
  <c r="H53" i="1" s="1"/>
  <c r="G37" i="1"/>
  <c r="H37" i="1" s="1"/>
  <c r="G21" i="1"/>
  <c r="H21" i="1" s="1"/>
  <c r="G299" i="1"/>
  <c r="H299" i="1" s="1"/>
  <c r="G283" i="1"/>
  <c r="H283" i="1" s="1"/>
  <c r="G267" i="1"/>
  <c r="H267" i="1" s="1"/>
  <c r="G251" i="1"/>
  <c r="H251" i="1" s="1"/>
  <c r="G235" i="1"/>
  <c r="H235" i="1" s="1"/>
  <c r="G219" i="1"/>
  <c r="H219" i="1" s="1"/>
  <c r="G200" i="1"/>
  <c r="H200" i="1" s="1"/>
  <c r="G173" i="1"/>
  <c r="H173" i="1" s="1"/>
  <c r="G126" i="1"/>
  <c r="H126" i="1" s="1"/>
  <c r="G62" i="1"/>
  <c r="H62" i="1" s="1"/>
  <c r="G297" i="1"/>
  <c r="H297" i="1" s="1"/>
  <c r="G249" i="1"/>
  <c r="H249" i="1" s="1"/>
  <c r="G197" i="1"/>
  <c r="H197" i="1" s="1"/>
  <c r="G302" i="1"/>
  <c r="H302" i="1" s="1"/>
  <c r="G286" i="1"/>
  <c r="H286" i="1" s="1"/>
  <c r="G270" i="1"/>
  <c r="H270" i="1" s="1"/>
  <c r="G254" i="1"/>
  <c r="H254" i="1" s="1"/>
  <c r="G238" i="1"/>
  <c r="H238" i="1" s="1"/>
  <c r="G222" i="1"/>
  <c r="H222" i="1" s="1"/>
  <c r="G178" i="1"/>
  <c r="H178" i="1" s="1"/>
  <c r="G138" i="1"/>
  <c r="H138" i="1" s="1"/>
  <c r="G74" i="1"/>
  <c r="H74" i="1" s="1"/>
  <c r="G145" i="1"/>
  <c r="H145" i="1" s="1"/>
  <c r="G129" i="1"/>
  <c r="H129" i="1" s="1"/>
  <c r="G113" i="1"/>
  <c r="H113" i="1" s="1"/>
  <c r="G97" i="1"/>
  <c r="H97" i="1" s="1"/>
  <c r="G81" i="1"/>
  <c r="H81" i="1" s="1"/>
  <c r="G65" i="1"/>
  <c r="H65" i="1" s="1"/>
  <c r="G136" i="1"/>
  <c r="H136" i="1" s="1"/>
  <c r="G120" i="1"/>
  <c r="H120" i="1" s="1"/>
  <c r="G104" i="1"/>
  <c r="H104" i="1" s="1"/>
  <c r="G88" i="1"/>
  <c r="H88" i="1" s="1"/>
  <c r="G72" i="1"/>
  <c r="H72" i="1" s="1"/>
  <c r="G147" i="1"/>
  <c r="H147" i="1" s="1"/>
  <c r="G131" i="1"/>
  <c r="H131" i="1" s="1"/>
  <c r="G115" i="1"/>
  <c r="H115" i="1" s="1"/>
  <c r="G99" i="1"/>
  <c r="H99" i="1" s="1"/>
  <c r="G83" i="1"/>
  <c r="H83" i="1" s="1"/>
  <c r="G67" i="1"/>
  <c r="H67" i="1" s="1"/>
  <c r="G305" i="1"/>
  <c r="H305" i="1" s="1"/>
  <c r="G56" i="1"/>
  <c r="H56" i="1" s="1"/>
  <c r="G40" i="1"/>
  <c r="H40" i="1" s="1"/>
  <c r="G24" i="1"/>
  <c r="H24" i="1" s="1"/>
  <c r="G204" i="1"/>
  <c r="H204" i="1" s="1"/>
  <c r="G184" i="1"/>
  <c r="H184" i="1" s="1"/>
  <c r="G168" i="1"/>
  <c r="H168" i="1" s="1"/>
  <c r="G152" i="1"/>
  <c r="H152" i="1" s="1"/>
  <c r="G211" i="1"/>
  <c r="H211" i="1" s="1"/>
  <c r="G195" i="1"/>
  <c r="H195" i="1" s="1"/>
  <c r="G179" i="1"/>
  <c r="H179" i="1" s="1"/>
  <c r="G163" i="1"/>
  <c r="H163" i="1" s="1"/>
  <c r="G208" i="1"/>
  <c r="H208" i="1" s="1"/>
  <c r="G241" i="1"/>
  <c r="H241" i="1" s="1"/>
  <c r="G39" i="1"/>
  <c r="H39" i="1" s="1"/>
  <c r="G293" i="1"/>
  <c r="H293" i="1" s="1"/>
  <c r="G245" i="1"/>
  <c r="H245" i="1" s="1"/>
  <c r="G192" i="1"/>
  <c r="H192" i="1" s="1"/>
  <c r="G42" i="1"/>
  <c r="H42" i="1" s="1"/>
  <c r="G26" i="1"/>
  <c r="H26" i="1" s="1"/>
  <c r="G304" i="1"/>
  <c r="H304" i="1" s="1"/>
  <c r="G288" i="1"/>
  <c r="H288" i="1" s="1"/>
  <c r="G272" i="1"/>
  <c r="H272" i="1" s="1"/>
  <c r="G256" i="1"/>
  <c r="H256" i="1" s="1"/>
  <c r="G240" i="1"/>
  <c r="H240" i="1" s="1"/>
  <c r="G224" i="1"/>
  <c r="H224" i="1" s="1"/>
  <c r="G206" i="1"/>
  <c r="H206" i="1" s="1"/>
  <c r="G182" i="1"/>
  <c r="H182" i="1" s="1"/>
  <c r="G146" i="1"/>
  <c r="H146" i="1" s="1"/>
  <c r="G82" i="1"/>
  <c r="H82" i="1" s="1"/>
  <c r="G31" i="1"/>
  <c r="H31" i="1" s="1"/>
  <c r="G277" i="1"/>
  <c r="H277" i="1" s="1"/>
  <c r="G229" i="1"/>
  <c r="H229" i="1" s="1"/>
  <c r="G161" i="1"/>
  <c r="H161" i="1" s="1"/>
  <c r="G49" i="1"/>
  <c r="H49" i="1" s="1"/>
  <c r="G33" i="1"/>
  <c r="H33" i="1" s="1"/>
  <c r="G17" i="1"/>
  <c r="H17" i="1" s="1"/>
  <c r="G295" i="1"/>
  <c r="H295" i="1" s="1"/>
  <c r="G279" i="1"/>
  <c r="H279" i="1" s="1"/>
  <c r="G263" i="1"/>
  <c r="H263" i="1" s="1"/>
  <c r="G247" i="1"/>
  <c r="H247" i="1" s="1"/>
  <c r="G231" i="1"/>
  <c r="H231" i="1" s="1"/>
  <c r="G215" i="1"/>
  <c r="H215" i="1" s="1"/>
  <c r="G194" i="1"/>
  <c r="H194" i="1" s="1"/>
  <c r="G165" i="1"/>
  <c r="H165" i="1" s="1"/>
  <c r="G110" i="1"/>
  <c r="H110" i="1" s="1"/>
  <c r="G47" i="1"/>
  <c r="H47" i="1" s="1"/>
  <c r="G285" i="1"/>
  <c r="H285" i="1" s="1"/>
  <c r="G237" i="1"/>
  <c r="H237" i="1" s="1"/>
  <c r="G177" i="1"/>
  <c r="H177" i="1" s="1"/>
  <c r="G52" i="1"/>
  <c r="H52" i="1" s="1"/>
  <c r="G36" i="1"/>
  <c r="H36" i="1" s="1"/>
  <c r="G20" i="1"/>
  <c r="H20" i="1" s="1"/>
  <c r="G298" i="1"/>
  <c r="H298" i="1" s="1"/>
  <c r="G282" i="1"/>
  <c r="H282" i="1" s="1"/>
  <c r="G266" i="1"/>
  <c r="H266" i="1" s="1"/>
  <c r="G250" i="1"/>
  <c r="H250" i="1" s="1"/>
  <c r="G234" i="1"/>
  <c r="H234" i="1" s="1"/>
  <c r="G218" i="1"/>
  <c r="H218" i="1" s="1"/>
  <c r="G198" i="1"/>
  <c r="H198" i="1" s="1"/>
  <c r="G170" i="1"/>
  <c r="H170" i="1" s="1"/>
  <c r="G122" i="1"/>
  <c r="H122" i="1" s="1"/>
  <c r="G58" i="1"/>
  <c r="H58" i="1" s="1"/>
  <c r="G141" i="1"/>
  <c r="H141" i="1" s="1"/>
  <c r="G125" i="1"/>
  <c r="H125" i="1" s="1"/>
  <c r="G109" i="1"/>
  <c r="H109" i="1" s="1"/>
  <c r="G93" i="1"/>
  <c r="H93" i="1" s="1"/>
  <c r="G77" i="1"/>
  <c r="H77" i="1" s="1"/>
  <c r="G61" i="1"/>
  <c r="H61" i="1" s="1"/>
  <c r="G180" i="1"/>
  <c r="H180" i="1" s="1"/>
  <c r="G164" i="1"/>
  <c r="H164" i="1" s="1"/>
  <c r="G148" i="1"/>
  <c r="H148" i="1" s="1"/>
  <c r="G132" i="1"/>
  <c r="H132" i="1" s="1"/>
  <c r="G116" i="1"/>
  <c r="H116" i="1" s="1"/>
  <c r="G100" i="1"/>
  <c r="H100" i="1" s="1"/>
  <c r="G84" i="1"/>
  <c r="H84" i="1" s="1"/>
  <c r="G68" i="1"/>
  <c r="H68" i="1" s="1"/>
  <c r="G207" i="1"/>
  <c r="H207" i="1" s="1"/>
  <c r="G191" i="1"/>
  <c r="H191" i="1" s="1"/>
  <c r="G175" i="1"/>
  <c r="H175" i="1" s="1"/>
  <c r="G159" i="1"/>
  <c r="H159" i="1" s="1"/>
  <c r="G143" i="1"/>
  <c r="H143" i="1" s="1"/>
  <c r="G127" i="1"/>
  <c r="H127" i="1" s="1"/>
  <c r="G111" i="1"/>
  <c r="H111" i="1" s="1"/>
  <c r="G95" i="1"/>
  <c r="H95" i="1" s="1"/>
  <c r="G79" i="1"/>
  <c r="H79" i="1" s="1"/>
  <c r="G63" i="1"/>
  <c r="H63" i="1" s="1"/>
  <c r="G257" i="1"/>
  <c r="H257" i="1" s="1"/>
  <c r="G260" i="1"/>
  <c r="H260" i="1" s="1"/>
  <c r="G289" i="1"/>
  <c r="H289" i="1" s="1"/>
  <c r="G27" i="1"/>
  <c r="H27" i="1" s="1"/>
  <c r="G281" i="1"/>
  <c r="H281" i="1" s="1"/>
  <c r="G233" i="1"/>
  <c r="H233" i="1" s="1"/>
  <c r="G169" i="1"/>
  <c r="H169" i="1" s="1"/>
  <c r="G54" i="1"/>
  <c r="H54" i="1" s="1"/>
  <c r="G38" i="1"/>
  <c r="H38" i="1" s="1"/>
  <c r="G22" i="1"/>
  <c r="H22" i="1" s="1"/>
  <c r="G300" i="1"/>
  <c r="H300" i="1" s="1"/>
  <c r="G284" i="1"/>
  <c r="H284" i="1" s="1"/>
  <c r="G268" i="1"/>
  <c r="H268" i="1" s="1"/>
  <c r="G252" i="1"/>
  <c r="H252" i="1" s="1"/>
  <c r="G236" i="1"/>
  <c r="H236" i="1" s="1"/>
  <c r="G220" i="1"/>
  <c r="H220" i="1" s="1"/>
  <c r="G201" i="1"/>
  <c r="H201" i="1" s="1"/>
  <c r="G174" i="1"/>
  <c r="H174" i="1" s="1"/>
  <c r="G130" i="1"/>
  <c r="H130" i="1" s="1"/>
  <c r="G66" i="1"/>
  <c r="H66" i="1" s="1"/>
  <c r="G15" i="1"/>
  <c r="H15" i="1" s="1"/>
  <c r="G265" i="1"/>
  <c r="H265" i="1" s="1"/>
  <c r="G217" i="1"/>
  <c r="H217" i="1" s="1"/>
  <c r="G134" i="1"/>
  <c r="H134" i="1" s="1"/>
  <c r="G45" i="1"/>
  <c r="H45" i="1" s="1"/>
  <c r="G29" i="1"/>
  <c r="H29" i="1" s="1"/>
  <c r="G291" i="1"/>
  <c r="H291" i="1" s="1"/>
  <c r="G275" i="1"/>
  <c r="H275" i="1" s="1"/>
  <c r="G259" i="1"/>
  <c r="H259" i="1" s="1"/>
  <c r="G243" i="1"/>
  <c r="H243" i="1" s="1"/>
  <c r="G227" i="1"/>
  <c r="H227" i="1" s="1"/>
  <c r="G210" i="1"/>
  <c r="H210" i="1" s="1"/>
  <c r="G189" i="1"/>
  <c r="H189" i="1" s="1"/>
  <c r="G157" i="1"/>
  <c r="H157" i="1" s="1"/>
  <c r="G94" i="1"/>
  <c r="H94" i="1" s="1"/>
  <c r="G35" i="1"/>
  <c r="H35" i="1" s="1"/>
  <c r="G273" i="1"/>
  <c r="H273" i="1" s="1"/>
  <c r="G225" i="1"/>
  <c r="H225" i="1" s="1"/>
  <c r="G150" i="1"/>
  <c r="H150" i="1" s="1"/>
  <c r="G48" i="1"/>
  <c r="H48" i="1" s="1"/>
  <c r="G32" i="1"/>
  <c r="H32" i="1" s="1"/>
  <c r="G16" i="1"/>
  <c r="H16" i="1" s="1"/>
  <c r="G294" i="1"/>
  <c r="H294" i="1" s="1"/>
  <c r="G278" i="1"/>
  <c r="H278" i="1" s="1"/>
  <c r="G262" i="1"/>
  <c r="H262" i="1" s="1"/>
  <c r="G246" i="1"/>
  <c r="H246" i="1" s="1"/>
  <c r="G230" i="1"/>
  <c r="H230" i="1" s="1"/>
  <c r="G214" i="1"/>
  <c r="H214" i="1" s="1"/>
  <c r="G193" i="1"/>
  <c r="H193" i="1" s="1"/>
  <c r="G162" i="1"/>
  <c r="H162" i="1" s="1"/>
  <c r="G106" i="1"/>
  <c r="H106" i="1" s="1"/>
  <c r="G153" i="1"/>
  <c r="H153" i="1" s="1"/>
  <c r="G137" i="1"/>
  <c r="H137" i="1" s="1"/>
  <c r="G121" i="1"/>
  <c r="H121" i="1" s="1"/>
  <c r="G105" i="1"/>
  <c r="H105" i="1" s="1"/>
  <c r="G89" i="1"/>
  <c r="H89" i="1" s="1"/>
  <c r="G73" i="1"/>
  <c r="H73" i="1" s="1"/>
  <c r="G57" i="1"/>
  <c r="H57" i="1" s="1"/>
  <c r="G176" i="1"/>
  <c r="H176" i="1" s="1"/>
  <c r="G160" i="1"/>
  <c r="H160" i="1" s="1"/>
  <c r="G144" i="1"/>
  <c r="H144" i="1" s="1"/>
  <c r="G128" i="1"/>
  <c r="H128" i="1" s="1"/>
  <c r="G112" i="1"/>
  <c r="H112" i="1" s="1"/>
  <c r="G96" i="1"/>
  <c r="H96" i="1" s="1"/>
  <c r="G80" i="1"/>
  <c r="H80" i="1" s="1"/>
  <c r="G64" i="1"/>
  <c r="H64" i="1" s="1"/>
  <c r="G203" i="1"/>
  <c r="H203" i="1" s="1"/>
  <c r="G187" i="1"/>
  <c r="H187" i="1" s="1"/>
  <c r="G171" i="1"/>
  <c r="H171" i="1" s="1"/>
  <c r="G155" i="1"/>
  <c r="H155" i="1" s="1"/>
  <c r="G139" i="1"/>
  <c r="H139" i="1" s="1"/>
  <c r="G123" i="1"/>
  <c r="H123" i="1" s="1"/>
  <c r="G107" i="1"/>
  <c r="H107" i="1" s="1"/>
  <c r="G91" i="1"/>
  <c r="H91" i="1" s="1"/>
  <c r="G75" i="1"/>
  <c r="H75" i="1" s="1"/>
  <c r="G59" i="1"/>
  <c r="H59" i="1" s="1"/>
  <c r="G70" i="1"/>
  <c r="H70" i="1" s="1"/>
  <c r="G19" i="1"/>
  <c r="H19" i="1" s="1"/>
  <c r="G269" i="1"/>
  <c r="H269" i="1" s="1"/>
  <c r="G221" i="1"/>
  <c r="H221" i="1" s="1"/>
  <c r="G118" i="1"/>
  <c r="H118" i="1" s="1"/>
  <c r="G50" i="1"/>
  <c r="H50" i="1" s="1"/>
  <c r="G34" i="1"/>
  <c r="H34" i="1" s="1"/>
  <c r="G18" i="1"/>
  <c r="H18" i="1" s="1"/>
  <c r="G296" i="1"/>
  <c r="H296" i="1" s="1"/>
  <c r="G280" i="1"/>
  <c r="H280" i="1" s="1"/>
  <c r="G264" i="1"/>
  <c r="H264" i="1" s="1"/>
  <c r="G248" i="1"/>
  <c r="H248" i="1" s="1"/>
  <c r="G232" i="1"/>
  <c r="H232" i="1" s="1"/>
  <c r="G216" i="1"/>
  <c r="H216" i="1" s="1"/>
  <c r="G196" i="1"/>
  <c r="H196" i="1" s="1"/>
  <c r="G166" i="1"/>
  <c r="H166" i="1" s="1"/>
  <c r="G114" i="1"/>
  <c r="H114" i="1" s="1"/>
  <c r="G55" i="1"/>
  <c r="H55" i="1" s="1"/>
  <c r="G301" i="1"/>
  <c r="H301" i="1" s="1"/>
  <c r="G253" i="1"/>
  <c r="H253" i="1" s="1"/>
  <c r="G202" i="1"/>
  <c r="H202" i="1" s="1"/>
  <c r="G86" i="1"/>
  <c r="H86" i="1" s="1"/>
  <c r="G41" i="1"/>
  <c r="H41" i="1" s="1"/>
  <c r="G25" i="1"/>
  <c r="H25" i="1" s="1"/>
  <c r="G303" i="1"/>
  <c r="H303" i="1" s="1"/>
  <c r="G287" i="1"/>
  <c r="H287" i="1" s="1"/>
  <c r="G271" i="1"/>
  <c r="H271" i="1" s="1"/>
  <c r="G255" i="1"/>
  <c r="H255" i="1" s="1"/>
  <c r="G239" i="1"/>
  <c r="H239" i="1" s="1"/>
  <c r="G223" i="1"/>
  <c r="H223" i="1" s="1"/>
  <c r="G205" i="1"/>
  <c r="H205" i="1" s="1"/>
  <c r="G181" i="1"/>
  <c r="H181" i="1" s="1"/>
  <c r="G142" i="1"/>
  <c r="H142" i="1" s="1"/>
  <c r="G78" i="1"/>
  <c r="H78" i="1" s="1"/>
  <c r="G23" i="1"/>
  <c r="H23" i="1" s="1"/>
  <c r="G261" i="1"/>
  <c r="H261" i="1" s="1"/>
  <c r="G213" i="1"/>
  <c r="H213" i="1" s="1"/>
  <c r="G102" i="1"/>
  <c r="H102" i="1" s="1"/>
  <c r="G44" i="1"/>
  <c r="H44" i="1" s="1"/>
  <c r="G28" i="1"/>
  <c r="H28" i="1" s="1"/>
  <c r="G306" i="1"/>
  <c r="H306" i="1" s="1"/>
  <c r="G290" i="1"/>
  <c r="H290" i="1" s="1"/>
  <c r="G274" i="1"/>
  <c r="H274" i="1" s="1"/>
  <c r="G258" i="1"/>
  <c r="H258" i="1" s="1"/>
  <c r="G242" i="1"/>
  <c r="H242" i="1" s="1"/>
  <c r="G226" i="1"/>
  <c r="H226" i="1" s="1"/>
  <c r="G209" i="1"/>
  <c r="H209" i="1" s="1"/>
  <c r="G186" i="1"/>
  <c r="H186" i="1" s="1"/>
  <c r="G154" i="1"/>
  <c r="H154" i="1" s="1"/>
  <c r="G90" i="1"/>
  <c r="H90" i="1" s="1"/>
  <c r="G149" i="1"/>
  <c r="H149" i="1" s="1"/>
  <c r="G133" i="1"/>
  <c r="H133" i="1" s="1"/>
  <c r="G117" i="1"/>
  <c r="H117" i="1" s="1"/>
  <c r="G101" i="1"/>
  <c r="H101" i="1" s="1"/>
  <c r="G85" i="1"/>
  <c r="H85" i="1" s="1"/>
  <c r="G69" i="1"/>
  <c r="H69" i="1" s="1"/>
  <c r="G188" i="1"/>
  <c r="H188" i="1" s="1"/>
  <c r="G172" i="1"/>
  <c r="H172" i="1" s="1"/>
  <c r="G156" i="1"/>
  <c r="H156" i="1" s="1"/>
  <c r="G140" i="1"/>
  <c r="H140" i="1" s="1"/>
  <c r="G124" i="1"/>
  <c r="H124" i="1" s="1"/>
  <c r="G108" i="1"/>
  <c r="H108" i="1" s="1"/>
  <c r="G92" i="1"/>
  <c r="H92" i="1" s="1"/>
  <c r="G76" i="1"/>
  <c r="H76" i="1" s="1"/>
  <c r="G60" i="1"/>
  <c r="H60" i="1" s="1"/>
  <c r="G199" i="1"/>
  <c r="H199" i="1" s="1"/>
  <c r="G183" i="1"/>
  <c r="H183" i="1" s="1"/>
  <c r="G167" i="1"/>
  <c r="H167" i="1" s="1"/>
  <c r="G151" i="1"/>
  <c r="H151" i="1" s="1"/>
  <c r="G135" i="1"/>
  <c r="H135" i="1" s="1"/>
  <c r="G119" i="1"/>
  <c r="H119" i="1" s="1"/>
  <c r="G103" i="1"/>
  <c r="H103" i="1" s="1"/>
  <c r="G87" i="1"/>
  <c r="H87" i="1" s="1"/>
  <c r="G71" i="1"/>
  <c r="H71" i="1" s="1"/>
  <c r="D12" i="1" l="1"/>
  <c r="C6" i="1"/>
  <c r="D8" i="1"/>
  <c r="C12" i="1"/>
  <c r="D10" i="1"/>
  <c r="C5" i="1"/>
  <c r="C8" i="1"/>
  <c r="D2" i="1"/>
  <c r="C7" i="1"/>
  <c r="C4" i="1"/>
  <c r="D4" i="1"/>
  <c r="D6" i="1"/>
  <c r="C11" i="1"/>
  <c r="C3" i="1"/>
  <c r="C10" i="1"/>
  <c r="D9" i="1"/>
  <c r="C9" i="1"/>
  <c r="D5" i="1"/>
  <c r="D7" i="1"/>
  <c r="D3" i="1"/>
  <c r="F3" i="1" s="1"/>
  <c r="D11" i="1"/>
  <c r="C2" i="1"/>
  <c r="K22" i="1"/>
  <c r="K26" i="1"/>
  <c r="K18" i="1"/>
  <c r="K14" i="1"/>
  <c r="F13" i="1" l="1"/>
  <c r="F14" i="1"/>
  <c r="E8" i="1"/>
  <c r="E13" i="1"/>
  <c r="G13" i="1" s="1"/>
  <c r="H13" i="1" s="1"/>
  <c r="E14" i="1"/>
  <c r="G14" i="1" s="1"/>
  <c r="H14" i="1" s="1"/>
  <c r="E3" i="1"/>
  <c r="F5" i="1"/>
  <c r="F2" i="1"/>
  <c r="E10" i="1"/>
  <c r="F4" i="1"/>
  <c r="E9" i="1"/>
  <c r="E4" i="1"/>
  <c r="E5" i="1"/>
  <c r="G5" i="1" s="1"/>
  <c r="H5" i="1" s="1"/>
  <c r="F9" i="1"/>
  <c r="G9" i="1" s="1"/>
  <c r="H9" i="1" s="1"/>
  <c r="F6" i="1"/>
  <c r="E7" i="1"/>
  <c r="F10" i="1"/>
  <c r="G10" i="1" s="1"/>
  <c r="H10" i="1" s="1"/>
  <c r="F8" i="1"/>
  <c r="G8" i="1" s="1"/>
  <c r="H8" i="1" s="1"/>
  <c r="O7" i="1"/>
  <c r="O22" i="1" s="1"/>
  <c r="F7" i="1"/>
  <c r="F11" i="1"/>
  <c r="G3" i="1"/>
  <c r="H3" i="1" s="1"/>
  <c r="E12" i="1"/>
  <c r="F12" i="1"/>
  <c r="E2" i="1"/>
  <c r="E6" i="1"/>
  <c r="G6" i="1" s="1"/>
  <c r="H6" i="1" s="1"/>
  <c r="E11" i="1"/>
  <c r="G7" i="1"/>
  <c r="H7" i="1" s="1"/>
  <c r="G12" i="1" l="1"/>
  <c r="H12" i="1" s="1"/>
  <c r="O14" i="1"/>
  <c r="O18" i="1" s="1"/>
  <c r="O28" i="1" s="1"/>
  <c r="G11" i="1"/>
  <c r="H11" i="1" s="1"/>
  <c r="G2" i="1"/>
  <c r="H2" i="1" s="1"/>
  <c r="O40" i="1" s="1"/>
  <c r="G4" i="1"/>
  <c r="H4" i="1" s="1"/>
  <c r="O27" i="1" l="1"/>
  <c r="O26" i="1"/>
</calcChain>
</file>

<file path=xl/sharedStrings.xml><?xml version="1.0" encoding="utf-8"?>
<sst xmlns="http://schemas.openxmlformats.org/spreadsheetml/2006/main" count="45" uniqueCount="42">
  <si>
    <t>x</t>
  </si>
  <si>
    <t>y</t>
  </si>
  <si>
    <t>n</t>
  </si>
  <si>
    <t>rs</t>
  </si>
  <si>
    <t>t</t>
  </si>
  <si>
    <t>df</t>
  </si>
  <si>
    <t>sig</t>
  </si>
  <si>
    <t>Step 1</t>
  </si>
  <si>
    <t>see columns C and D</t>
  </si>
  <si>
    <t>Step 2</t>
  </si>
  <si>
    <t>Determine the average rank for each variable</t>
  </si>
  <si>
    <t>see columns E and F</t>
  </si>
  <si>
    <t>Step 3</t>
  </si>
  <si>
    <t>Determine the Pearson correlation based on the ranks = Spearman rho</t>
  </si>
  <si>
    <t>Step 4</t>
  </si>
  <si>
    <t>Determine the t-value</t>
  </si>
  <si>
    <t>Step 5</t>
  </si>
  <si>
    <t>Determine the degrees of freedom</t>
  </si>
  <si>
    <t>Step 6</t>
  </si>
  <si>
    <t>Determine the significance</t>
  </si>
  <si>
    <r>
      <t>T.DIST.2T(ABS(</t>
    </r>
    <r>
      <rPr>
        <b/>
        <i/>
        <sz val="11"/>
        <color theme="1"/>
        <rFont val="Calibri"/>
        <family val="2"/>
        <scheme val="minor"/>
      </rPr>
      <t>t-value</t>
    </r>
    <r>
      <rPr>
        <sz val="11"/>
        <color theme="1"/>
        <rFont val="Calibri"/>
        <family val="2"/>
        <scheme val="minor"/>
      </rPr>
      <t>);</t>
    </r>
    <r>
      <rPr>
        <b/>
        <i/>
        <sz val="11"/>
        <color theme="1"/>
        <rFont val="Calibri"/>
        <family val="2"/>
        <scheme val="minor"/>
      </rPr>
      <t>df</t>
    </r>
    <r>
      <rPr>
        <sz val="11"/>
        <color theme="1"/>
        <rFont val="Calibri"/>
        <family val="2"/>
        <scheme val="minor"/>
      </rPr>
      <t>)</t>
    </r>
  </si>
  <si>
    <r>
      <t>TDIST(ABS(</t>
    </r>
    <r>
      <rPr>
        <b/>
        <i/>
        <sz val="11"/>
        <color theme="1"/>
        <rFont val="Calibri"/>
        <family val="2"/>
        <scheme val="minor"/>
      </rPr>
      <t>t-value</t>
    </r>
    <r>
      <rPr>
        <sz val="11"/>
        <color theme="1"/>
        <rFont val="Calibri"/>
        <family val="2"/>
        <scheme val="minor"/>
      </rPr>
      <t>);</t>
    </r>
    <r>
      <rPr>
        <b/>
        <i/>
        <sz val="11"/>
        <color theme="1"/>
        <rFont val="Calibri"/>
        <family val="2"/>
        <scheme val="minor"/>
      </rPr>
      <t>df</t>
    </r>
    <r>
      <rPr>
        <sz val="11"/>
        <color theme="1"/>
        <rFont val="Calibri"/>
        <family val="2"/>
        <scheme val="minor"/>
      </rPr>
      <t>;2)</t>
    </r>
  </si>
  <si>
    <r>
      <t>2*(1-T.DIST(ABS(</t>
    </r>
    <r>
      <rPr>
        <b/>
        <i/>
        <sz val="11"/>
        <color theme="1"/>
        <rFont val="Calibri"/>
        <family val="2"/>
        <scheme val="minor"/>
      </rPr>
      <t>t-value</t>
    </r>
    <r>
      <rPr>
        <sz val="11"/>
        <color theme="1"/>
        <rFont val="Calibri"/>
        <family val="2"/>
        <scheme val="minor"/>
      </rPr>
      <t>);</t>
    </r>
    <r>
      <rPr>
        <b/>
        <i/>
        <sz val="11"/>
        <color theme="1"/>
        <rFont val="Calibri"/>
        <family val="2"/>
        <scheme val="minor"/>
      </rPr>
      <t>df</t>
    </r>
    <r>
      <rPr>
        <sz val="11"/>
        <color theme="1"/>
        <rFont val="Calibri"/>
        <family val="2"/>
        <scheme val="minor"/>
      </rPr>
      <t>;TRUE))</t>
    </r>
  </si>
  <si>
    <t>Bonus</t>
  </si>
  <si>
    <t>Alternative method in case there are no ties for the coefficient</t>
  </si>
  <si>
    <t>Step A</t>
  </si>
  <si>
    <t>Determine the difference in rank for each pair</t>
  </si>
  <si>
    <t>See column G</t>
  </si>
  <si>
    <t>Step B</t>
  </si>
  <si>
    <t>Square the results from step A</t>
  </si>
  <si>
    <t>See column H</t>
  </si>
  <si>
    <t>Step C</t>
  </si>
  <si>
    <t>Determine Spearman's rho</t>
  </si>
  <si>
    <t>Remove cases for which one or both scores are missing, and determine nr. of pairs</t>
  </si>
  <si>
    <t>Spearman rank correlation coefficient (a.k.a. Spearman rho)</t>
  </si>
  <si>
    <t>example</t>
  </si>
  <si>
    <t>UDF</t>
  </si>
  <si>
    <r>
      <t>r</t>
    </r>
    <r>
      <rPr>
        <vertAlign val="subscript"/>
        <sz val="11"/>
        <color theme="1"/>
        <rFont val="Calibri"/>
        <family val="2"/>
        <scheme val="minor"/>
      </rPr>
      <t>s</t>
    </r>
  </si>
  <si>
    <r>
      <t>R</t>
    </r>
    <r>
      <rPr>
        <vertAlign val="subscript"/>
        <sz val="11"/>
        <color theme="1"/>
        <rFont val="Calibri"/>
        <family val="2"/>
        <scheme val="minor"/>
      </rPr>
      <t>x</t>
    </r>
  </si>
  <si>
    <r>
      <t>R</t>
    </r>
    <r>
      <rPr>
        <vertAlign val="subscript"/>
        <sz val="11"/>
        <color theme="1"/>
        <rFont val="Calibri"/>
        <family val="2"/>
        <scheme val="minor"/>
      </rPr>
      <t>y</t>
    </r>
  </si>
  <si>
    <r>
      <t>d</t>
    </r>
    <r>
      <rPr>
        <vertAlign val="subscript"/>
        <sz val="11"/>
        <color theme="1"/>
        <rFont val="Calibri"/>
        <family val="2"/>
        <scheme val="minor"/>
      </rPr>
      <t>i</t>
    </r>
  </si>
  <si>
    <r>
      <t>d</t>
    </r>
    <r>
      <rPr>
        <vertAlign val="subscript"/>
        <sz val="11"/>
        <color theme="1"/>
        <rFont val="Calibri"/>
        <family val="2"/>
        <scheme val="minor"/>
      </rPr>
      <t>i</t>
    </r>
    <r>
      <rPr>
        <vertAlign val="superscript"/>
        <sz val="11"/>
        <color theme="1"/>
        <rFont val="Calibri"/>
        <family val="2"/>
        <scheme val="minor"/>
      </rPr>
      <t>2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</si>
</sst>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/>
    <xf numFmtId="0" fontId="0" fillId="2" borderId="0" xfId="0" applyFill="1"/>
    <xf numFmtId="0" fontId="1" fillId="0" borderId="0" xfId="0" applyFont="1"/>
    <xf numFmtId="0" fontId="0" fillId="3" borderId="0" xfId="0" applyFill="1"/>
    <xf numFmtId="0" fontId="0" fillId="4" borderId="0" xfId="0" applyFill="1"/>
    <xf numFmtId="0" fontId="0" fillId="4" borderId="0" xfId="0" applyNumberFormat="1" applyFill="1"/>
    <xf numFmtId="0" fontId="4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16</xdr:col>
      <xdr:colOff>28575</xdr:colOff>
      <xdr:row>12</xdr:row>
      <xdr:rowOff>57150</xdr:rowOff>
    </xdr:from>
    <xdr:ext cx="848309" cy="3801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FA0FA83-0C33-4FA3-A3D5-9571D079BBE8}"/>
                </a:ext>
              </a:extLst>
            </xdr:cNvPr>
            <xdr:cNvSpPr txBox="1"/>
          </xdr:nvSpPr>
          <xdr:spPr>
            <a:xfrm>
              <a:off x="8753475" y="1771650"/>
              <a:ext cx="848309" cy="380169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𝑟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𝑠</m:t>
                        </m:r>
                      </m:sub>
                    </m:sSub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𝑠</m:t>
                            </m:r>
                          </m:e>
                          <m:sub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𝑥</m:t>
                                </m:r>
                              </m:sub>
                            </m:sSub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𝑦</m:t>
                                </m:r>
                              </m:sub>
                            </m:sSub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𝑠</m:t>
                            </m:r>
                          </m:e>
                          <m:sub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𝑥</m:t>
                                </m:r>
                              </m:sub>
                            </m:sSub>
                          </m:sub>
                        </m:s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×</m:t>
                        </m:r>
                        <m:sSub>
                          <m:sSub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𝑠</m:t>
                            </m:r>
                          </m:e>
                          <m:sub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𝑦</m:t>
                                </m:r>
                              </m:sub>
                            </m:sSub>
                          </m:sub>
                        </m:sSub>
                      </m:den>
                    </m:f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FA0FA83-0C33-4FA3-A3D5-9571D079BBE8}"/>
                </a:ext>
              </a:extLst>
            </xdr:cNvPr>
            <xdr:cNvSpPr txBox="1"/>
          </xdr:nvSpPr>
          <xdr:spPr>
            <a:xfrm>
              <a:off x="8753475" y="1771650"/>
              <a:ext cx="848309" cy="380169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𝑟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_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𝑠</a:t>
              </a:r>
              <a:r>
                <a:rPr lang="en-GB" sz="1100" b="0" i="0">
                  <a:latin typeface="Cambria Math" panose="02040503050406030204" pitchFamily="18" charset="0"/>
                </a:rPr>
                <a:t>=𝑠_(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𝑅_𝑥 𝑅_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𝑦 )/(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𝑠_(𝑅_𝑥 )×𝑠_(𝑅_𝑦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16</xdr:col>
      <xdr:colOff>38100</xdr:colOff>
      <xdr:row>16</xdr:row>
      <xdr:rowOff>0</xdr:rowOff>
    </xdr:from>
    <xdr:ext cx="1030860" cy="50013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916BC86C-DAC1-4879-BD98-C2EB9D8F9244}"/>
                </a:ext>
              </a:extLst>
            </xdr:cNvPr>
            <xdr:cNvSpPr txBox="1"/>
          </xdr:nvSpPr>
          <xdr:spPr>
            <a:xfrm>
              <a:off x="9677400" y="3048000"/>
              <a:ext cx="1030860" cy="500137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𝑡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𝑟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𝑠</m:t>
                        </m:r>
                      </m:sub>
                    </m:sSub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×</m:t>
                    </m:r>
                    <m:rad>
                      <m:radPr>
                        <m:degHide m:val="on"/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𝑛</m:t>
                            </m:r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−2</m:t>
                            </m:r>
                          </m:num>
                          <m:den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1−</m:t>
                            </m:r>
                            <m:sSubSup>
                              <m:sSubSup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SupPr>
                              <m:e>
                                <m:r>
                                  <a:rPr lang="nl-NL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nl-NL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𝑥</m:t>
                                </m:r>
                              </m:sub>
                              <m:sup>
                                <m:r>
                                  <a:rPr lang="nl-NL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rad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916BC86C-DAC1-4879-BD98-C2EB9D8F9244}"/>
                </a:ext>
              </a:extLst>
            </xdr:cNvPr>
            <xdr:cNvSpPr txBox="1"/>
          </xdr:nvSpPr>
          <xdr:spPr>
            <a:xfrm>
              <a:off x="9677400" y="3048000"/>
              <a:ext cx="1030860" cy="500137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𝑡</a:t>
              </a:r>
              <a:r>
                <a:rPr lang="en-GB" sz="1100" b="0" i="0">
                  <a:latin typeface="Cambria Math" panose="02040503050406030204" pitchFamily="18" charset="0"/>
                </a:rPr>
                <a:t>=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𝑟_𝑠×√((𝑛−2)/(1−</a:t>
              </a:r>
              <a:r>
                <a:rPr lang="nl-NL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𝑟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nl-NL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𝑥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^</a:t>
              </a:r>
              <a:r>
                <a:rPr lang="nl-NL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2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))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16</xdr:col>
      <xdr:colOff>66675</xdr:colOff>
      <xdr:row>21</xdr:row>
      <xdr:rowOff>9525</xdr:rowOff>
    </xdr:from>
    <xdr:ext cx="708656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4D08129B-7D2B-4C46-8B67-AF1DD746A583}"/>
                </a:ext>
              </a:extLst>
            </xdr:cNvPr>
            <xdr:cNvSpPr txBox="1"/>
          </xdr:nvSpPr>
          <xdr:spPr>
            <a:xfrm>
              <a:off x="8791575" y="3438525"/>
              <a:ext cx="708656" cy="172227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𝑑𝑓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𝑛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−2</m:t>
                    </m:r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4D08129B-7D2B-4C46-8B67-AF1DD746A583}"/>
                </a:ext>
              </a:extLst>
            </xdr:cNvPr>
            <xdr:cNvSpPr txBox="1"/>
          </xdr:nvSpPr>
          <xdr:spPr>
            <a:xfrm>
              <a:off x="8791575" y="3438525"/>
              <a:ext cx="708656" cy="172227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𝑑𝑓</a:t>
              </a:r>
              <a:r>
                <a:rPr lang="en-GB" sz="1100" b="0" i="0">
                  <a:latin typeface="Cambria Math" panose="02040503050406030204" pitchFamily="18" charset="0"/>
                </a:rPr>
                <a:t>=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𝑛−2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16</xdr:col>
      <xdr:colOff>0</xdr:colOff>
      <xdr:row>39</xdr:row>
      <xdr:rowOff>0</xdr:rowOff>
    </xdr:from>
    <xdr:ext cx="912494" cy="36933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CAB82F06-0E13-4C43-8A51-B293F109B22A}"/>
                </a:ext>
              </a:extLst>
            </xdr:cNvPr>
            <xdr:cNvSpPr txBox="1"/>
          </xdr:nvSpPr>
          <xdr:spPr>
            <a:xfrm>
              <a:off x="8915400" y="6858000"/>
              <a:ext cx="912494" cy="369332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𝑟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𝑠</m:t>
                        </m:r>
                      </m:sub>
                    </m:sSub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6</m:t>
                        </m:r>
                        <m:r>
                          <a:rPr lang="en-GB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×</m:t>
                        </m:r>
                        <m:nary>
                          <m:naryPr>
                            <m:chr m:val="∑"/>
                            <m:subHide m:val="on"/>
                            <m:supHide m:val="on"/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naryPr>
                          <m:sub/>
                          <m:sup/>
                          <m:e>
                            <m:sSubSup>
                              <m:sSubSupPr>
                                <m:ctrlP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𝑑</m:t>
                                </m:r>
                              </m:e>
                              <m:sub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𝑖</m:t>
                                </m:r>
                              </m:sub>
                              <m:sup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e>
                        </m:nary>
                      </m:num>
                      <m:den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𝑛</m:t>
                        </m:r>
                        <m:d>
                          <m:dPr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p>
                              <m:sSupPr>
                                <m:ctrlP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𝑛</m:t>
                                </m:r>
                              </m:e>
                              <m:sup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p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−1</m:t>
                            </m:r>
                          </m:e>
                        </m:d>
                      </m:den>
                    </m:f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CAB82F06-0E13-4C43-8A51-B293F109B22A}"/>
                </a:ext>
              </a:extLst>
            </xdr:cNvPr>
            <xdr:cNvSpPr txBox="1"/>
          </xdr:nvSpPr>
          <xdr:spPr>
            <a:xfrm>
              <a:off x="8915400" y="6858000"/>
              <a:ext cx="912494" cy="369332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𝑟_𝑠</a:t>
              </a:r>
              <a:r>
                <a:rPr lang="en-GB" sz="1100" b="0" i="0">
                  <a:latin typeface="Cambria Math" panose="02040503050406030204" pitchFamily="18" charset="0"/>
                </a:rPr>
                <a:t>=(6</a:t>
              </a:r>
              <a:r>
                <a:rPr lang="en-GB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×∑▒</a:t>
              </a:r>
              <a:r>
                <a:rPr lang="en-GB" sz="1100" b="0" i="0">
                  <a:latin typeface="Cambria Math" panose="02040503050406030204" pitchFamily="18" charset="0"/>
                </a:rPr>
                <a:t>𝑑_𝑖^2 )/𝑛(𝑛^2−1) </a:t>
              </a:r>
              <a:endParaRPr lang="en-GB" sz="110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P306"/>
  <sheetViews>
    <sheetView tabSelected="1" topLeftCell="A7" workbookViewId="0">
      <selection activeCell="A2" sqref="A2"/>
    </sheetView>
  </sheetViews>
  <sheetFormatPr defaultRowHeight="15" x14ac:dyDescent="0.25"/>
  <cols>
    <col min="11" max="11" width="10.85546875" customWidth="1"/>
    <col min="13" max="15" width="12" bestFit="1" customWidth="1"/>
  </cols>
  <sheetData>
    <row r="1" spans="1:15" ht="18.75" x14ac:dyDescent="0.35">
      <c r="C1" t="s">
        <v>0</v>
      </c>
      <c r="D1" t="s">
        <v>1</v>
      </c>
      <c r="E1" t="s">
        <v>38</v>
      </c>
      <c r="F1" t="s">
        <v>39</v>
      </c>
      <c r="G1" t="s">
        <v>40</v>
      </c>
      <c r="H1" t="s">
        <v>41</v>
      </c>
    </row>
    <row r="2" spans="1:15" ht="21" x14ac:dyDescent="0.35">
      <c r="A2">
        <v>29.305301289977862</v>
      </c>
      <c r="B2">
        <v>1.0731743962052553E-5</v>
      </c>
      <c r="C2" s="2">
        <f>IF(AND($A2&lt;&gt;"",$B2&lt;&gt;""),A2,"")</f>
        <v>29.305301289977862</v>
      </c>
      <c r="D2" s="2">
        <f t="shared" ref="D2:D65" si="0">IF(AND($A2&lt;&gt;"",$B2&lt;&gt;""),B2,"")</f>
        <v>1.0731743962052553E-5</v>
      </c>
      <c r="E2" s="2">
        <f>IF(C2="","",_xlfn.RANK.AVG(C2,C$2:C$306,1))</f>
        <v>3</v>
      </c>
      <c r="F2" s="2">
        <f>IF(D2="","",_xlfn.RANK.AVG(D2,D$2:D$306,1))</f>
        <v>2.5</v>
      </c>
      <c r="G2" s="2">
        <f>IF(C2="","",E2-F2)</f>
        <v>0.5</v>
      </c>
      <c r="H2" s="2">
        <f>IF(C2="","",G2^2)</f>
        <v>0.25</v>
      </c>
      <c r="M2" s="7" t="s">
        <v>34</v>
      </c>
    </row>
    <row r="3" spans="1:15" x14ac:dyDescent="0.25">
      <c r="A3">
        <v>38.095238095238088</v>
      </c>
      <c r="B3">
        <v>3.3268406282362914E-4</v>
      </c>
      <c r="C3" s="2">
        <f t="shared" ref="C3:D66" si="1">IF(AND($A3&lt;&gt;"",$B3&lt;&gt;""),A3,"")</f>
        <v>38.095238095238088</v>
      </c>
      <c r="D3" s="2">
        <f t="shared" si="0"/>
        <v>3.3268406282362914E-4</v>
      </c>
      <c r="E3" s="2">
        <f t="shared" ref="E3:E66" si="2">IF(C3="","",_xlfn.RANK.AVG(C3,C$2:C$306,1))</f>
        <v>4</v>
      </c>
      <c r="F3" s="2">
        <f t="shared" ref="F3:F66" si="3">IF(D3="","",_xlfn.RANK.AVG(D3,D$2:D$306,1))</f>
        <v>8.5</v>
      </c>
      <c r="G3" s="2">
        <f t="shared" ref="G3:G66" si="4">IF(C3="","",E3-F3)</f>
        <v>-4.5</v>
      </c>
      <c r="H3" s="2">
        <f t="shared" ref="H3:H66" si="5">IF(C3="","",G3^2)</f>
        <v>20.25</v>
      </c>
      <c r="M3" s="1" t="s">
        <v>35</v>
      </c>
    </row>
    <row r="4" spans="1:15" x14ac:dyDescent="0.25">
      <c r="A4">
        <v>48.635030838314393</v>
      </c>
      <c r="B4">
        <v>6.9756335753341593E-5</v>
      </c>
      <c r="C4" s="2">
        <f t="shared" si="1"/>
        <v>48.635030838314393</v>
      </c>
      <c r="D4" s="2">
        <f t="shared" si="0"/>
        <v>6.9756335753341593E-5</v>
      </c>
      <c r="E4" s="2">
        <f t="shared" si="2"/>
        <v>11</v>
      </c>
      <c r="F4" s="2">
        <f t="shared" si="3"/>
        <v>4</v>
      </c>
      <c r="G4" s="2">
        <f t="shared" si="4"/>
        <v>7</v>
      </c>
      <c r="H4" s="2">
        <f t="shared" si="5"/>
        <v>49</v>
      </c>
    </row>
    <row r="5" spans="1:15" x14ac:dyDescent="0.25">
      <c r="A5">
        <v>58.859903381642503</v>
      </c>
      <c r="B5">
        <v>5.3658719810262763E-6</v>
      </c>
      <c r="C5" s="2">
        <f t="shared" si="1"/>
        <v>58.859903381642503</v>
      </c>
      <c r="D5" s="2">
        <f t="shared" si="0"/>
        <v>5.3658719810262763E-6</v>
      </c>
      <c r="E5" s="2">
        <f t="shared" si="2"/>
        <v>13</v>
      </c>
      <c r="F5" s="2">
        <f t="shared" si="3"/>
        <v>1</v>
      </c>
      <c r="G5" s="2">
        <f t="shared" si="4"/>
        <v>12</v>
      </c>
      <c r="H5" s="2">
        <f t="shared" si="5"/>
        <v>144</v>
      </c>
      <c r="M5" s="3" t="s">
        <v>7</v>
      </c>
      <c r="N5" t="s">
        <v>33</v>
      </c>
    </row>
    <row r="6" spans="1:15" x14ac:dyDescent="0.25">
      <c r="A6">
        <v>1</v>
      </c>
      <c r="B6">
        <v>2.0390313527899852E-4</v>
      </c>
      <c r="C6" s="2">
        <f t="shared" si="1"/>
        <v>1</v>
      </c>
      <c r="D6" s="2">
        <f t="shared" si="0"/>
        <v>2.0390313527899852E-4</v>
      </c>
      <c r="E6" s="2">
        <f t="shared" si="2"/>
        <v>1.5</v>
      </c>
      <c r="F6" s="2">
        <f t="shared" si="3"/>
        <v>5</v>
      </c>
      <c r="G6" s="2">
        <f t="shared" si="4"/>
        <v>-3.5</v>
      </c>
      <c r="H6" s="2">
        <f t="shared" si="5"/>
        <v>12.25</v>
      </c>
      <c r="N6" s="1" t="s">
        <v>8</v>
      </c>
    </row>
    <row r="7" spans="1:15" x14ac:dyDescent="0.25">
      <c r="A7">
        <v>43.240568954854666</v>
      </c>
      <c r="B7">
        <v>6.1707527781802187E-4</v>
      </c>
      <c r="C7" s="2">
        <f t="shared" si="1"/>
        <v>43.240568954854666</v>
      </c>
      <c r="D7" s="2">
        <f t="shared" si="0"/>
        <v>6.1707527781802187E-4</v>
      </c>
      <c r="E7" s="2">
        <f t="shared" si="2"/>
        <v>5</v>
      </c>
      <c r="F7" s="2">
        <f t="shared" si="3"/>
        <v>12</v>
      </c>
      <c r="G7" s="2">
        <f t="shared" si="4"/>
        <v>-7</v>
      </c>
      <c r="H7" s="2">
        <f t="shared" si="5"/>
        <v>49</v>
      </c>
      <c r="N7" t="s">
        <v>2</v>
      </c>
      <c r="O7" s="2">
        <f>COUNT(C:C)</f>
        <v>13</v>
      </c>
    </row>
    <row r="8" spans="1:15" x14ac:dyDescent="0.25">
      <c r="A8">
        <v>45.036337880180021</v>
      </c>
      <c r="B8">
        <v>2.7902534301336637E-4</v>
      </c>
      <c r="C8" s="2">
        <f t="shared" si="1"/>
        <v>45.036337880180021</v>
      </c>
      <c r="D8" s="2">
        <f t="shared" si="0"/>
        <v>2.7902534301336637E-4</v>
      </c>
      <c r="E8" s="2">
        <f t="shared" si="2"/>
        <v>8</v>
      </c>
      <c r="F8" s="2">
        <f t="shared" si="3"/>
        <v>6</v>
      </c>
      <c r="G8" s="2">
        <f t="shared" si="4"/>
        <v>2</v>
      </c>
      <c r="H8" s="2">
        <f t="shared" si="5"/>
        <v>4</v>
      </c>
    </row>
    <row r="9" spans="1:15" x14ac:dyDescent="0.25">
      <c r="A9">
        <v>45.415936720284549</v>
      </c>
      <c r="B9">
        <v>1.0731743962052553E-5</v>
      </c>
      <c r="C9" s="2">
        <f t="shared" si="1"/>
        <v>45.415936720284549</v>
      </c>
      <c r="D9" s="2">
        <f t="shared" si="0"/>
        <v>1.0731743962052553E-5</v>
      </c>
      <c r="E9" s="2">
        <f t="shared" si="2"/>
        <v>9</v>
      </c>
      <c r="F9" s="2">
        <f t="shared" si="3"/>
        <v>2.5</v>
      </c>
      <c r="G9" s="2">
        <f t="shared" si="4"/>
        <v>6.5</v>
      </c>
      <c r="H9" s="2">
        <f t="shared" si="5"/>
        <v>42.25</v>
      </c>
      <c r="M9" s="3" t="s">
        <v>9</v>
      </c>
      <c r="N9" t="s">
        <v>10</v>
      </c>
    </row>
    <row r="10" spans="1:15" x14ac:dyDescent="0.25">
      <c r="A10">
        <v>1</v>
      </c>
      <c r="B10">
        <v>5.9024591791289043E-4</v>
      </c>
      <c r="C10" s="2">
        <f t="shared" si="1"/>
        <v>1</v>
      </c>
      <c r="D10" s="2">
        <f t="shared" si="0"/>
        <v>5.9024591791289043E-4</v>
      </c>
      <c r="E10" s="2">
        <f t="shared" si="2"/>
        <v>1.5</v>
      </c>
      <c r="F10" s="2">
        <f t="shared" si="3"/>
        <v>11</v>
      </c>
      <c r="G10" s="2">
        <f t="shared" si="4"/>
        <v>-9.5</v>
      </c>
      <c r="H10" s="2">
        <f t="shared" si="5"/>
        <v>90.25</v>
      </c>
      <c r="N10" s="1" t="s">
        <v>11</v>
      </c>
    </row>
    <row r="11" spans="1:15" x14ac:dyDescent="0.25">
      <c r="A11">
        <v>43.585134278450276</v>
      </c>
      <c r="B11">
        <v>1.3736632271427267E-3</v>
      </c>
      <c r="C11" s="2">
        <f t="shared" si="1"/>
        <v>43.585134278450276</v>
      </c>
      <c r="D11" s="2">
        <f t="shared" si="0"/>
        <v>1.3736632271427267E-3</v>
      </c>
      <c r="E11" s="2">
        <f t="shared" si="2"/>
        <v>6</v>
      </c>
      <c r="F11" s="2">
        <f t="shared" si="3"/>
        <v>13</v>
      </c>
      <c r="G11" s="2">
        <f t="shared" si="4"/>
        <v>-7</v>
      </c>
      <c r="H11" s="2">
        <f t="shared" si="5"/>
        <v>49</v>
      </c>
    </row>
    <row r="12" spans="1:15" x14ac:dyDescent="0.25">
      <c r="A12">
        <v>49.531740713649363</v>
      </c>
      <c r="B12">
        <v>4.2926975848210213E-4</v>
      </c>
      <c r="C12" s="2">
        <f t="shared" si="1"/>
        <v>49.531740713649363</v>
      </c>
      <c r="D12" s="2">
        <f t="shared" si="0"/>
        <v>4.2926975848210213E-4</v>
      </c>
      <c r="E12" s="2">
        <f t="shared" si="2"/>
        <v>12</v>
      </c>
      <c r="F12" s="2">
        <f t="shared" si="3"/>
        <v>10</v>
      </c>
      <c r="G12" s="2">
        <f t="shared" si="4"/>
        <v>2</v>
      </c>
      <c r="H12" s="2">
        <f t="shared" si="5"/>
        <v>4</v>
      </c>
      <c r="M12" s="3" t="s">
        <v>12</v>
      </c>
      <c r="N12" t="s">
        <v>13</v>
      </c>
    </row>
    <row r="13" spans="1:15" x14ac:dyDescent="0.25">
      <c r="A13">
        <v>43.680529714310133</v>
      </c>
      <c r="B13">
        <v>3.3268406282362914E-4</v>
      </c>
      <c r="C13" s="2">
        <f t="shared" si="1"/>
        <v>43.680529714310133</v>
      </c>
      <c r="D13" s="2">
        <f t="shared" si="0"/>
        <v>3.3268406282362914E-4</v>
      </c>
      <c r="E13" s="2">
        <f t="shared" si="2"/>
        <v>7</v>
      </c>
      <c r="F13" s="2">
        <f t="shared" si="3"/>
        <v>8.5</v>
      </c>
      <c r="G13" s="2">
        <f t="shared" si="4"/>
        <v>-1.5</v>
      </c>
      <c r="H13" s="2">
        <f t="shared" si="5"/>
        <v>2.25</v>
      </c>
    </row>
    <row r="14" spans="1:15" ht="18" x14ac:dyDescent="0.35">
      <c r="A14">
        <v>48.010905425219939</v>
      </c>
      <c r="B14">
        <v>3.1122057489952406E-4</v>
      </c>
      <c r="C14" s="2">
        <f t="shared" si="1"/>
        <v>48.010905425219939</v>
      </c>
      <c r="D14" s="2">
        <f t="shared" si="0"/>
        <v>3.1122057489952406E-4</v>
      </c>
      <c r="E14" s="2">
        <f t="shared" si="2"/>
        <v>10</v>
      </c>
      <c r="F14" s="2">
        <f t="shared" si="3"/>
        <v>7</v>
      </c>
      <c r="G14" s="2">
        <f t="shared" si="4"/>
        <v>3</v>
      </c>
      <c r="H14" s="2">
        <f t="shared" si="5"/>
        <v>9</v>
      </c>
      <c r="J14" s="5" t="s">
        <v>36</v>
      </c>
      <c r="K14" s="6">
        <f>SPEARMANRHO($A$2:$A$306,$B$2:$B$306,1)</f>
        <v>-0.31172443445858045</v>
      </c>
      <c r="N14" t="s">
        <v>37</v>
      </c>
      <c r="O14" s="2">
        <f>CORREL(E:E,F:F)</f>
        <v>-0.31172443445858039</v>
      </c>
    </row>
    <row r="15" spans="1:15" x14ac:dyDescent="0.25">
      <c r="A15" s="4"/>
      <c r="B15" s="4"/>
      <c r="C15" s="2" t="str">
        <f t="shared" si="1"/>
        <v/>
      </c>
      <c r="D15" s="2" t="str">
        <f t="shared" si="0"/>
        <v/>
      </c>
      <c r="E15" s="2" t="str">
        <f t="shared" si="2"/>
        <v/>
      </c>
      <c r="F15" s="2" t="str">
        <f t="shared" si="3"/>
        <v/>
      </c>
      <c r="G15" s="2" t="str">
        <f t="shared" si="4"/>
        <v/>
      </c>
      <c r="H15" s="2" t="str">
        <f t="shared" si="5"/>
        <v/>
      </c>
    </row>
    <row r="16" spans="1:15" x14ac:dyDescent="0.25">
      <c r="A16" s="4"/>
      <c r="B16" s="4"/>
      <c r="C16" s="2" t="str">
        <f t="shared" si="1"/>
        <v/>
      </c>
      <c r="D16" s="2" t="str">
        <f t="shared" si="0"/>
        <v/>
      </c>
      <c r="E16" s="2" t="str">
        <f t="shared" si="2"/>
        <v/>
      </c>
      <c r="F16" s="2" t="str">
        <f t="shared" si="3"/>
        <v/>
      </c>
      <c r="G16" s="2" t="str">
        <f t="shared" si="4"/>
        <v/>
      </c>
      <c r="H16" s="2" t="str">
        <f t="shared" si="5"/>
        <v/>
      </c>
      <c r="M16" s="3" t="s">
        <v>14</v>
      </c>
      <c r="N16" t="s">
        <v>15</v>
      </c>
    </row>
    <row r="17" spans="1:16" x14ac:dyDescent="0.25">
      <c r="A17" s="4"/>
      <c r="B17" s="4"/>
      <c r="C17" s="2" t="str">
        <f t="shared" si="1"/>
        <v/>
      </c>
      <c r="D17" s="2" t="str">
        <f t="shared" si="0"/>
        <v/>
      </c>
      <c r="E17" s="2" t="str">
        <f t="shared" si="2"/>
        <v/>
      </c>
      <c r="F17" s="2" t="str">
        <f t="shared" si="3"/>
        <v/>
      </c>
      <c r="G17" s="2" t="str">
        <f t="shared" si="4"/>
        <v/>
      </c>
      <c r="H17" s="2" t="str">
        <f t="shared" si="5"/>
        <v/>
      </c>
    </row>
    <row r="18" spans="1:16" x14ac:dyDescent="0.25">
      <c r="A18" s="4"/>
      <c r="B18" s="4"/>
      <c r="C18" s="2" t="str">
        <f t="shared" si="1"/>
        <v/>
      </c>
      <c r="D18" s="2" t="str">
        <f t="shared" si="0"/>
        <v/>
      </c>
      <c r="E18" s="2" t="str">
        <f t="shared" si="2"/>
        <v/>
      </c>
      <c r="F18" s="2" t="str">
        <f t="shared" si="3"/>
        <v/>
      </c>
      <c r="G18" s="2" t="str">
        <f t="shared" si="4"/>
        <v/>
      </c>
      <c r="H18" s="2" t="str">
        <f t="shared" si="5"/>
        <v/>
      </c>
      <c r="J18" s="5" t="s">
        <v>36</v>
      </c>
      <c r="K18" s="6">
        <f>SPEARMANRHO($A$2:$A$306,$B$2:$B$306,2)</f>
        <v>-1.088089722053184</v>
      </c>
      <c r="N18" t="s">
        <v>4</v>
      </c>
      <c r="O18" s="2">
        <f>O14*SQRT((O7-2)/(1-O14^2))</f>
        <v>-1.088089722053184</v>
      </c>
    </row>
    <row r="19" spans="1:16" x14ac:dyDescent="0.25">
      <c r="A19" s="4"/>
      <c r="B19" s="4"/>
      <c r="C19" s="2" t="str">
        <f t="shared" si="1"/>
        <v/>
      </c>
      <c r="D19" s="2" t="str">
        <f t="shared" si="0"/>
        <v/>
      </c>
      <c r="E19" s="2" t="str">
        <f t="shared" si="2"/>
        <v/>
      </c>
      <c r="F19" s="2" t="str">
        <f t="shared" si="3"/>
        <v/>
      </c>
      <c r="G19" s="2" t="str">
        <f t="shared" si="4"/>
        <v/>
      </c>
      <c r="H19" s="2" t="str">
        <f t="shared" si="5"/>
        <v/>
      </c>
    </row>
    <row r="20" spans="1:16" x14ac:dyDescent="0.25">
      <c r="A20" s="4"/>
      <c r="B20" s="4"/>
      <c r="C20" s="2" t="str">
        <f t="shared" si="1"/>
        <v/>
      </c>
      <c r="D20" s="2" t="str">
        <f t="shared" si="0"/>
        <v/>
      </c>
      <c r="E20" s="2" t="str">
        <f t="shared" si="2"/>
        <v/>
      </c>
      <c r="F20" s="2" t="str">
        <f t="shared" si="3"/>
        <v/>
      </c>
      <c r="G20" s="2" t="str">
        <f t="shared" si="4"/>
        <v/>
      </c>
      <c r="H20" s="2" t="str">
        <f t="shared" si="5"/>
        <v/>
      </c>
      <c r="M20" s="3" t="s">
        <v>16</v>
      </c>
      <c r="N20" t="s">
        <v>17</v>
      </c>
    </row>
    <row r="21" spans="1:16" x14ac:dyDescent="0.25">
      <c r="A21" s="4"/>
      <c r="B21" s="4"/>
      <c r="C21" s="2" t="str">
        <f t="shared" si="1"/>
        <v/>
      </c>
      <c r="D21" s="2" t="str">
        <f t="shared" si="0"/>
        <v/>
      </c>
      <c r="E21" s="2" t="str">
        <f t="shared" si="2"/>
        <v/>
      </c>
      <c r="F21" s="2" t="str">
        <f t="shared" si="3"/>
        <v/>
      </c>
      <c r="G21" s="2" t="str">
        <f t="shared" si="4"/>
        <v/>
      </c>
      <c r="H21" s="2" t="str">
        <f t="shared" si="5"/>
        <v/>
      </c>
    </row>
    <row r="22" spans="1:16" x14ac:dyDescent="0.25">
      <c r="A22" s="4"/>
      <c r="B22" s="4"/>
      <c r="C22" s="2" t="str">
        <f t="shared" si="1"/>
        <v/>
      </c>
      <c r="D22" s="2" t="str">
        <f t="shared" si="0"/>
        <v/>
      </c>
      <c r="E22" s="2" t="str">
        <f t="shared" si="2"/>
        <v/>
      </c>
      <c r="F22" s="2" t="str">
        <f t="shared" si="3"/>
        <v/>
      </c>
      <c r="G22" s="2" t="str">
        <f t="shared" si="4"/>
        <v/>
      </c>
      <c r="H22" s="2" t="str">
        <f t="shared" si="5"/>
        <v/>
      </c>
      <c r="J22" s="5" t="s">
        <v>36</v>
      </c>
      <c r="K22" s="6">
        <f>SPEARMANRHO($A$2:$A$306,$B$2:$B$306,3)</f>
        <v>11</v>
      </c>
      <c r="N22" t="s">
        <v>5</v>
      </c>
      <c r="O22" s="2">
        <f>O7-2</f>
        <v>11</v>
      </c>
    </row>
    <row r="23" spans="1:16" x14ac:dyDescent="0.25">
      <c r="A23" s="4"/>
      <c r="B23" s="4"/>
      <c r="C23" s="2" t="str">
        <f t="shared" si="1"/>
        <v/>
      </c>
      <c r="D23" s="2" t="str">
        <f t="shared" si="0"/>
        <v/>
      </c>
      <c r="E23" s="2" t="str">
        <f t="shared" si="2"/>
        <v/>
      </c>
      <c r="F23" s="2" t="str">
        <f t="shared" si="3"/>
        <v/>
      </c>
      <c r="G23" s="2" t="str">
        <f t="shared" si="4"/>
        <v/>
      </c>
      <c r="H23" s="2" t="str">
        <f t="shared" si="5"/>
        <v/>
      </c>
    </row>
    <row r="24" spans="1:16" x14ac:dyDescent="0.25">
      <c r="A24" s="4"/>
      <c r="B24" s="4"/>
      <c r="C24" s="2" t="str">
        <f t="shared" si="1"/>
        <v/>
      </c>
      <c r="D24" s="2" t="str">
        <f t="shared" si="0"/>
        <v/>
      </c>
      <c r="E24" s="2" t="str">
        <f t="shared" si="2"/>
        <v/>
      </c>
      <c r="F24" s="2" t="str">
        <f t="shared" si="3"/>
        <v/>
      </c>
      <c r="G24" s="2" t="str">
        <f t="shared" si="4"/>
        <v/>
      </c>
      <c r="H24" s="2" t="str">
        <f t="shared" si="5"/>
        <v/>
      </c>
      <c r="M24" s="3" t="s">
        <v>18</v>
      </c>
      <c r="N24" t="s">
        <v>19</v>
      </c>
    </row>
    <row r="25" spans="1:16" x14ac:dyDescent="0.25">
      <c r="A25" s="4"/>
      <c r="B25" s="4"/>
      <c r="C25" s="2" t="str">
        <f t="shared" si="1"/>
        <v/>
      </c>
      <c r="D25" s="2" t="str">
        <f t="shared" si="0"/>
        <v/>
      </c>
      <c r="E25" s="2" t="str">
        <f t="shared" si="2"/>
        <v/>
      </c>
      <c r="F25" s="2" t="str">
        <f t="shared" si="3"/>
        <v/>
      </c>
      <c r="G25" s="2" t="str">
        <f t="shared" si="4"/>
        <v/>
      </c>
      <c r="H25" s="2" t="str">
        <f t="shared" si="5"/>
        <v/>
      </c>
    </row>
    <row r="26" spans="1:16" x14ac:dyDescent="0.25">
      <c r="A26" s="4"/>
      <c r="B26" s="4"/>
      <c r="C26" s="2" t="str">
        <f t="shared" si="1"/>
        <v/>
      </c>
      <c r="D26" s="2" t="str">
        <f t="shared" si="0"/>
        <v/>
      </c>
      <c r="E26" s="2" t="str">
        <f t="shared" si="2"/>
        <v/>
      </c>
      <c r="F26" s="2" t="str">
        <f t="shared" si="3"/>
        <v/>
      </c>
      <c r="G26" s="2" t="str">
        <f t="shared" si="4"/>
        <v/>
      </c>
      <c r="H26" s="2" t="str">
        <f t="shared" si="5"/>
        <v/>
      </c>
      <c r="J26" s="5" t="s">
        <v>36</v>
      </c>
      <c r="K26" s="6">
        <f>SPEARMANRHO($A$2:$A$306,$B$2:$B$306)</f>
        <v>0.29982114440918844</v>
      </c>
      <c r="N26" t="s">
        <v>6</v>
      </c>
      <c r="O26" s="2">
        <f>_xlfn.T.DIST.2T(ABS(O18),O22)</f>
        <v>0.29982114440918844</v>
      </c>
      <c r="P26" t="s">
        <v>20</v>
      </c>
    </row>
    <row r="27" spans="1:16" x14ac:dyDescent="0.25">
      <c r="A27" s="4"/>
      <c r="B27" s="4"/>
      <c r="C27" s="2" t="str">
        <f t="shared" si="1"/>
        <v/>
      </c>
      <c r="D27" s="2" t="str">
        <f t="shared" si="0"/>
        <v/>
      </c>
      <c r="E27" s="2" t="str">
        <f t="shared" si="2"/>
        <v/>
      </c>
      <c r="F27" s="2" t="str">
        <f t="shared" si="3"/>
        <v/>
      </c>
      <c r="G27" s="2" t="str">
        <f t="shared" si="4"/>
        <v/>
      </c>
      <c r="H27" s="2" t="str">
        <f t="shared" si="5"/>
        <v/>
      </c>
      <c r="O27" s="2">
        <f>TDIST(ABS(O18),O22,2)</f>
        <v>0.29982114440918844</v>
      </c>
      <c r="P27" t="s">
        <v>21</v>
      </c>
    </row>
    <row r="28" spans="1:16" x14ac:dyDescent="0.25">
      <c r="A28" s="4"/>
      <c r="B28" s="4"/>
      <c r="C28" s="2" t="str">
        <f t="shared" si="1"/>
        <v/>
      </c>
      <c r="D28" s="2" t="str">
        <f t="shared" si="0"/>
        <v/>
      </c>
      <c r="E28" s="2" t="str">
        <f t="shared" si="2"/>
        <v/>
      </c>
      <c r="F28" s="2" t="str">
        <f t="shared" si="3"/>
        <v/>
      </c>
      <c r="G28" s="2" t="str">
        <f t="shared" si="4"/>
        <v/>
      </c>
      <c r="H28" s="2" t="str">
        <f t="shared" si="5"/>
        <v/>
      </c>
      <c r="O28" s="2">
        <f>2*(1-_xlfn.T.DIST(ABS(O18),O22,TRUE))</f>
        <v>0.2998211444091885</v>
      </c>
      <c r="P28" t="s">
        <v>22</v>
      </c>
    </row>
    <row r="29" spans="1:16" x14ac:dyDescent="0.25">
      <c r="A29" s="4"/>
      <c r="B29" s="4"/>
      <c r="C29" s="2" t="str">
        <f t="shared" si="1"/>
        <v/>
      </c>
      <c r="D29" s="2" t="str">
        <f t="shared" si="0"/>
        <v/>
      </c>
      <c r="E29" s="2" t="str">
        <f t="shared" si="2"/>
        <v/>
      </c>
      <c r="F29" s="2" t="str">
        <f t="shared" si="3"/>
        <v/>
      </c>
      <c r="G29" s="2" t="str">
        <f t="shared" si="4"/>
        <v/>
      </c>
      <c r="H29" s="2" t="str">
        <f t="shared" si="5"/>
        <v/>
      </c>
    </row>
    <row r="30" spans="1:16" x14ac:dyDescent="0.25">
      <c r="A30" s="4"/>
      <c r="B30" s="4"/>
      <c r="C30" s="2" t="str">
        <f t="shared" si="1"/>
        <v/>
      </c>
      <c r="D30" s="2" t="str">
        <f t="shared" si="0"/>
        <v/>
      </c>
      <c r="E30" s="2" t="str">
        <f t="shared" si="2"/>
        <v/>
      </c>
      <c r="F30" s="2" t="str">
        <f t="shared" si="3"/>
        <v/>
      </c>
      <c r="G30" s="2" t="str">
        <f t="shared" si="4"/>
        <v/>
      </c>
      <c r="H30" s="2" t="str">
        <f t="shared" si="5"/>
        <v/>
      </c>
      <c r="M30" s="3" t="s">
        <v>23</v>
      </c>
      <c r="N30" s="3" t="s">
        <v>24</v>
      </c>
    </row>
    <row r="31" spans="1:16" x14ac:dyDescent="0.25">
      <c r="A31" s="4"/>
      <c r="B31" s="4"/>
      <c r="C31" s="2" t="str">
        <f t="shared" si="1"/>
        <v/>
      </c>
      <c r="D31" s="2" t="str">
        <f t="shared" si="0"/>
        <v/>
      </c>
      <c r="E31" s="2" t="str">
        <f t="shared" si="2"/>
        <v/>
      </c>
      <c r="F31" s="2" t="str">
        <f t="shared" si="3"/>
        <v/>
      </c>
      <c r="G31" s="2" t="str">
        <f t="shared" si="4"/>
        <v/>
      </c>
      <c r="H31" s="2" t="str">
        <f t="shared" si="5"/>
        <v/>
      </c>
    </row>
    <row r="32" spans="1:16" x14ac:dyDescent="0.25">
      <c r="A32" s="4"/>
      <c r="B32" s="4"/>
      <c r="C32" s="2" t="str">
        <f t="shared" si="1"/>
        <v/>
      </c>
      <c r="D32" s="2" t="str">
        <f t="shared" si="0"/>
        <v/>
      </c>
      <c r="E32" s="2" t="str">
        <f t="shared" si="2"/>
        <v/>
      </c>
      <c r="F32" s="2" t="str">
        <f t="shared" si="3"/>
        <v/>
      </c>
      <c r="G32" s="2" t="str">
        <f t="shared" si="4"/>
        <v/>
      </c>
      <c r="H32" s="2" t="str">
        <f t="shared" si="5"/>
        <v/>
      </c>
      <c r="M32" t="s">
        <v>25</v>
      </c>
      <c r="N32" t="s">
        <v>26</v>
      </c>
    </row>
    <row r="33" spans="1:15" x14ac:dyDescent="0.25">
      <c r="A33" s="4"/>
      <c r="B33" s="4"/>
      <c r="C33" s="2" t="str">
        <f t="shared" si="1"/>
        <v/>
      </c>
      <c r="D33" s="2" t="str">
        <f t="shared" si="0"/>
        <v/>
      </c>
      <c r="E33" s="2" t="str">
        <f t="shared" si="2"/>
        <v/>
      </c>
      <c r="F33" s="2" t="str">
        <f t="shared" si="3"/>
        <v/>
      </c>
      <c r="G33" s="2" t="str">
        <f t="shared" si="4"/>
        <v/>
      </c>
      <c r="H33" s="2" t="str">
        <f t="shared" si="5"/>
        <v/>
      </c>
      <c r="N33" s="1" t="s">
        <v>27</v>
      </c>
    </row>
    <row r="34" spans="1:15" x14ac:dyDescent="0.25">
      <c r="A34" s="4"/>
      <c r="B34" s="4"/>
      <c r="C34" s="2" t="str">
        <f t="shared" si="1"/>
        <v/>
      </c>
      <c r="D34" s="2" t="str">
        <f t="shared" si="0"/>
        <v/>
      </c>
      <c r="E34" s="2" t="str">
        <f t="shared" si="2"/>
        <v/>
      </c>
      <c r="F34" s="2" t="str">
        <f t="shared" si="3"/>
        <v/>
      </c>
      <c r="G34" s="2" t="str">
        <f t="shared" si="4"/>
        <v/>
      </c>
      <c r="H34" s="2" t="str">
        <f t="shared" si="5"/>
        <v/>
      </c>
    </row>
    <row r="35" spans="1:15" x14ac:dyDescent="0.25">
      <c r="A35" s="4"/>
      <c r="B35" s="4"/>
      <c r="C35" s="2" t="str">
        <f t="shared" si="1"/>
        <v/>
      </c>
      <c r="D35" s="2" t="str">
        <f t="shared" si="0"/>
        <v/>
      </c>
      <c r="E35" s="2" t="str">
        <f t="shared" si="2"/>
        <v/>
      </c>
      <c r="F35" s="2" t="str">
        <f t="shared" si="3"/>
        <v/>
      </c>
      <c r="G35" s="2" t="str">
        <f t="shared" si="4"/>
        <v/>
      </c>
      <c r="H35" s="2" t="str">
        <f t="shared" si="5"/>
        <v/>
      </c>
      <c r="M35" t="s">
        <v>28</v>
      </c>
      <c r="N35" t="s">
        <v>29</v>
      </c>
    </row>
    <row r="36" spans="1:15" x14ac:dyDescent="0.25">
      <c r="A36" s="4"/>
      <c r="B36" s="4"/>
      <c r="C36" s="2" t="str">
        <f t="shared" si="1"/>
        <v/>
      </c>
      <c r="D36" s="2" t="str">
        <f t="shared" si="0"/>
        <v/>
      </c>
      <c r="E36" s="2" t="str">
        <f t="shared" si="2"/>
        <v/>
      </c>
      <c r="F36" s="2" t="str">
        <f t="shared" si="3"/>
        <v/>
      </c>
      <c r="G36" s="2" t="str">
        <f t="shared" si="4"/>
        <v/>
      </c>
      <c r="H36" s="2" t="str">
        <f t="shared" si="5"/>
        <v/>
      </c>
      <c r="N36" s="1" t="s">
        <v>30</v>
      </c>
    </row>
    <row r="37" spans="1:15" x14ac:dyDescent="0.25">
      <c r="A37" s="4"/>
      <c r="B37" s="4"/>
      <c r="C37" s="2" t="str">
        <f t="shared" si="1"/>
        <v/>
      </c>
      <c r="D37" s="2" t="str">
        <f t="shared" si="0"/>
        <v/>
      </c>
      <c r="E37" s="2" t="str">
        <f t="shared" si="2"/>
        <v/>
      </c>
      <c r="F37" s="2" t="str">
        <f t="shared" si="3"/>
        <v/>
      </c>
      <c r="G37" s="2" t="str">
        <f t="shared" si="4"/>
        <v/>
      </c>
      <c r="H37" s="2" t="str">
        <f t="shared" si="5"/>
        <v/>
      </c>
    </row>
    <row r="38" spans="1:15" x14ac:dyDescent="0.25">
      <c r="A38" s="4"/>
      <c r="B38" s="4"/>
      <c r="C38" s="2" t="str">
        <f t="shared" si="1"/>
        <v/>
      </c>
      <c r="D38" s="2" t="str">
        <f t="shared" si="0"/>
        <v/>
      </c>
      <c r="E38" s="2" t="str">
        <f t="shared" si="2"/>
        <v/>
      </c>
      <c r="F38" s="2" t="str">
        <f t="shared" si="3"/>
        <v/>
      </c>
      <c r="G38" s="2" t="str">
        <f t="shared" si="4"/>
        <v/>
      </c>
      <c r="H38" s="2" t="str">
        <f t="shared" si="5"/>
        <v/>
      </c>
      <c r="M38" t="s">
        <v>31</v>
      </c>
      <c r="N38" t="s">
        <v>32</v>
      </c>
    </row>
    <row r="39" spans="1:15" x14ac:dyDescent="0.25">
      <c r="A39" s="4"/>
      <c r="B39" s="4"/>
      <c r="C39" s="2" t="str">
        <f t="shared" si="1"/>
        <v/>
      </c>
      <c r="D39" s="2" t="str">
        <f t="shared" si="0"/>
        <v/>
      </c>
      <c r="E39" s="2" t="str">
        <f t="shared" si="2"/>
        <v/>
      </c>
      <c r="F39" s="2" t="str">
        <f t="shared" si="3"/>
        <v/>
      </c>
      <c r="G39" s="2" t="str">
        <f t="shared" si="4"/>
        <v/>
      </c>
      <c r="H39" s="2" t="str">
        <f t="shared" si="5"/>
        <v/>
      </c>
    </row>
    <row r="40" spans="1:15" x14ac:dyDescent="0.25">
      <c r="A40" s="4"/>
      <c r="B40" s="4"/>
      <c r="C40" s="2" t="str">
        <f t="shared" si="1"/>
        <v/>
      </c>
      <c r="D40" s="2" t="str">
        <f t="shared" si="0"/>
        <v/>
      </c>
      <c r="E40" s="2" t="str">
        <f t="shared" si="2"/>
        <v/>
      </c>
      <c r="F40" s="2" t="str">
        <f t="shared" si="3"/>
        <v/>
      </c>
      <c r="G40" s="2" t="str">
        <f t="shared" si="4"/>
        <v/>
      </c>
      <c r="H40" s="2" t="str">
        <f t="shared" si="5"/>
        <v/>
      </c>
      <c r="N40" t="s">
        <v>3</v>
      </c>
      <c r="O40" s="2">
        <f>6*SUM(H:H)/(O7*(O7^2-1))</f>
        <v>1.3063186813186813</v>
      </c>
    </row>
    <row r="41" spans="1:15" x14ac:dyDescent="0.25">
      <c r="A41" s="4"/>
      <c r="B41" s="4"/>
      <c r="C41" s="2" t="str">
        <f t="shared" si="1"/>
        <v/>
      </c>
      <c r="D41" s="2" t="str">
        <f t="shared" si="0"/>
        <v/>
      </c>
      <c r="E41" s="2" t="str">
        <f t="shared" si="2"/>
        <v/>
      </c>
      <c r="F41" s="2" t="str">
        <f t="shared" si="3"/>
        <v/>
      </c>
      <c r="G41" s="2" t="str">
        <f t="shared" si="4"/>
        <v/>
      </c>
      <c r="H41" s="2" t="str">
        <f t="shared" si="5"/>
        <v/>
      </c>
    </row>
    <row r="42" spans="1:15" x14ac:dyDescent="0.25">
      <c r="A42" s="4"/>
      <c r="B42" s="4"/>
      <c r="C42" s="2" t="str">
        <f t="shared" si="1"/>
        <v/>
      </c>
      <c r="D42" s="2" t="str">
        <f t="shared" si="0"/>
        <v/>
      </c>
      <c r="E42" s="2" t="str">
        <f t="shared" si="2"/>
        <v/>
      </c>
      <c r="F42" s="2" t="str">
        <f t="shared" si="3"/>
        <v/>
      </c>
      <c r="G42" s="2" t="str">
        <f t="shared" si="4"/>
        <v/>
      </c>
      <c r="H42" s="2" t="str">
        <f t="shared" si="5"/>
        <v/>
      </c>
    </row>
    <row r="43" spans="1:15" x14ac:dyDescent="0.25">
      <c r="A43" s="4"/>
      <c r="B43" s="4"/>
      <c r="C43" s="2" t="str">
        <f t="shared" si="1"/>
        <v/>
      </c>
      <c r="D43" s="2" t="str">
        <f t="shared" si="0"/>
        <v/>
      </c>
      <c r="E43" s="2" t="str">
        <f t="shared" si="2"/>
        <v/>
      </c>
      <c r="F43" s="2" t="str">
        <f t="shared" si="3"/>
        <v/>
      </c>
      <c r="G43" s="2" t="str">
        <f t="shared" si="4"/>
        <v/>
      </c>
      <c r="H43" s="2" t="str">
        <f t="shared" si="5"/>
        <v/>
      </c>
    </row>
    <row r="44" spans="1:15" x14ac:dyDescent="0.25">
      <c r="A44" s="4"/>
      <c r="B44" s="4"/>
      <c r="C44" s="2" t="str">
        <f t="shared" si="1"/>
        <v/>
      </c>
      <c r="D44" s="2" t="str">
        <f t="shared" si="0"/>
        <v/>
      </c>
      <c r="E44" s="2" t="str">
        <f t="shared" si="2"/>
        <v/>
      </c>
      <c r="F44" s="2" t="str">
        <f t="shared" si="3"/>
        <v/>
      </c>
      <c r="G44" s="2" t="str">
        <f t="shared" si="4"/>
        <v/>
      </c>
      <c r="H44" s="2" t="str">
        <f t="shared" si="5"/>
        <v/>
      </c>
    </row>
    <row r="45" spans="1:15" x14ac:dyDescent="0.25">
      <c r="A45" s="4"/>
      <c r="B45" s="4"/>
      <c r="C45" s="2" t="str">
        <f t="shared" si="1"/>
        <v/>
      </c>
      <c r="D45" s="2" t="str">
        <f t="shared" si="0"/>
        <v/>
      </c>
      <c r="E45" s="2" t="str">
        <f t="shared" si="2"/>
        <v/>
      </c>
      <c r="F45" s="2" t="str">
        <f t="shared" si="3"/>
        <v/>
      </c>
      <c r="G45" s="2" t="str">
        <f t="shared" si="4"/>
        <v/>
      </c>
      <c r="H45" s="2" t="str">
        <f t="shared" si="5"/>
        <v/>
      </c>
    </row>
    <row r="46" spans="1:15" x14ac:dyDescent="0.25">
      <c r="A46" s="4"/>
      <c r="B46" s="4"/>
      <c r="C46" s="2" t="str">
        <f t="shared" si="1"/>
        <v/>
      </c>
      <c r="D46" s="2" t="str">
        <f t="shared" si="0"/>
        <v/>
      </c>
      <c r="E46" s="2" t="str">
        <f t="shared" si="2"/>
        <v/>
      </c>
      <c r="F46" s="2" t="str">
        <f t="shared" si="3"/>
        <v/>
      </c>
      <c r="G46" s="2" t="str">
        <f t="shared" si="4"/>
        <v/>
      </c>
      <c r="H46" s="2" t="str">
        <f t="shared" si="5"/>
        <v/>
      </c>
    </row>
    <row r="47" spans="1:15" x14ac:dyDescent="0.25">
      <c r="A47" s="4"/>
      <c r="B47" s="4"/>
      <c r="C47" s="2" t="str">
        <f t="shared" si="1"/>
        <v/>
      </c>
      <c r="D47" s="2" t="str">
        <f t="shared" si="0"/>
        <v/>
      </c>
      <c r="E47" s="2" t="str">
        <f t="shared" si="2"/>
        <v/>
      </c>
      <c r="F47" s="2" t="str">
        <f t="shared" si="3"/>
        <v/>
      </c>
      <c r="G47" s="2" t="str">
        <f t="shared" si="4"/>
        <v/>
      </c>
      <c r="H47" s="2" t="str">
        <f t="shared" si="5"/>
        <v/>
      </c>
    </row>
    <row r="48" spans="1:15" x14ac:dyDescent="0.25">
      <c r="A48" s="4"/>
      <c r="B48" s="4"/>
      <c r="C48" s="2" t="str">
        <f t="shared" si="1"/>
        <v/>
      </c>
      <c r="D48" s="2" t="str">
        <f t="shared" si="0"/>
        <v/>
      </c>
      <c r="E48" s="2" t="str">
        <f t="shared" si="2"/>
        <v/>
      </c>
      <c r="F48" s="2" t="str">
        <f t="shared" si="3"/>
        <v/>
      </c>
      <c r="G48" s="2" t="str">
        <f t="shared" si="4"/>
        <v/>
      </c>
      <c r="H48" s="2" t="str">
        <f t="shared" si="5"/>
        <v/>
      </c>
    </row>
    <row r="49" spans="1:8" x14ac:dyDescent="0.25">
      <c r="A49" s="4"/>
      <c r="B49" s="4"/>
      <c r="C49" s="2" t="str">
        <f t="shared" si="1"/>
        <v/>
      </c>
      <c r="D49" s="2" t="str">
        <f t="shared" si="0"/>
        <v/>
      </c>
      <c r="E49" s="2" t="str">
        <f t="shared" si="2"/>
        <v/>
      </c>
      <c r="F49" s="2" t="str">
        <f t="shared" si="3"/>
        <v/>
      </c>
      <c r="G49" s="2" t="str">
        <f t="shared" si="4"/>
        <v/>
      </c>
      <c r="H49" s="2" t="str">
        <f t="shared" si="5"/>
        <v/>
      </c>
    </row>
    <row r="50" spans="1:8" x14ac:dyDescent="0.25">
      <c r="A50" s="4"/>
      <c r="B50" s="4"/>
      <c r="C50" s="2" t="str">
        <f t="shared" si="1"/>
        <v/>
      </c>
      <c r="D50" s="2" t="str">
        <f t="shared" si="0"/>
        <v/>
      </c>
      <c r="E50" s="2" t="str">
        <f t="shared" si="2"/>
        <v/>
      </c>
      <c r="F50" s="2" t="str">
        <f t="shared" si="3"/>
        <v/>
      </c>
      <c r="G50" s="2" t="str">
        <f t="shared" si="4"/>
        <v/>
      </c>
      <c r="H50" s="2" t="str">
        <f t="shared" si="5"/>
        <v/>
      </c>
    </row>
    <row r="51" spans="1:8" x14ac:dyDescent="0.25">
      <c r="A51" s="4"/>
      <c r="B51" s="4"/>
      <c r="C51" s="2" t="str">
        <f t="shared" si="1"/>
        <v/>
      </c>
      <c r="D51" s="2" t="str">
        <f t="shared" si="0"/>
        <v/>
      </c>
      <c r="E51" s="2" t="str">
        <f t="shared" si="2"/>
        <v/>
      </c>
      <c r="F51" s="2" t="str">
        <f t="shared" si="3"/>
        <v/>
      </c>
      <c r="G51" s="2" t="str">
        <f t="shared" si="4"/>
        <v/>
      </c>
      <c r="H51" s="2" t="str">
        <f t="shared" si="5"/>
        <v/>
      </c>
    </row>
    <row r="52" spans="1:8" x14ac:dyDescent="0.25">
      <c r="A52" s="4"/>
      <c r="B52" s="4"/>
      <c r="C52" s="2" t="str">
        <f t="shared" si="1"/>
        <v/>
      </c>
      <c r="D52" s="2" t="str">
        <f t="shared" si="0"/>
        <v/>
      </c>
      <c r="E52" s="2" t="str">
        <f t="shared" si="2"/>
        <v/>
      </c>
      <c r="F52" s="2" t="str">
        <f t="shared" si="3"/>
        <v/>
      </c>
      <c r="G52" s="2" t="str">
        <f t="shared" si="4"/>
        <v/>
      </c>
      <c r="H52" s="2" t="str">
        <f t="shared" si="5"/>
        <v/>
      </c>
    </row>
    <row r="53" spans="1:8" x14ac:dyDescent="0.25">
      <c r="A53" s="4"/>
      <c r="B53" s="4"/>
      <c r="C53" s="2" t="str">
        <f t="shared" si="1"/>
        <v/>
      </c>
      <c r="D53" s="2" t="str">
        <f t="shared" si="0"/>
        <v/>
      </c>
      <c r="E53" s="2" t="str">
        <f t="shared" si="2"/>
        <v/>
      </c>
      <c r="F53" s="2" t="str">
        <f t="shared" si="3"/>
        <v/>
      </c>
      <c r="G53" s="2" t="str">
        <f t="shared" si="4"/>
        <v/>
      </c>
      <c r="H53" s="2" t="str">
        <f t="shared" si="5"/>
        <v/>
      </c>
    </row>
    <row r="54" spans="1:8" x14ac:dyDescent="0.25">
      <c r="A54" s="4"/>
      <c r="B54" s="4"/>
      <c r="C54" s="2" t="str">
        <f t="shared" si="1"/>
        <v/>
      </c>
      <c r="D54" s="2" t="str">
        <f t="shared" si="0"/>
        <v/>
      </c>
      <c r="E54" s="2" t="str">
        <f t="shared" si="2"/>
        <v/>
      </c>
      <c r="F54" s="2" t="str">
        <f t="shared" si="3"/>
        <v/>
      </c>
      <c r="G54" s="2" t="str">
        <f t="shared" si="4"/>
        <v/>
      </c>
      <c r="H54" s="2" t="str">
        <f t="shared" si="5"/>
        <v/>
      </c>
    </row>
    <row r="55" spans="1:8" x14ac:dyDescent="0.25">
      <c r="A55" s="4"/>
      <c r="B55" s="4"/>
      <c r="C55" s="2" t="str">
        <f t="shared" si="1"/>
        <v/>
      </c>
      <c r="D55" s="2" t="str">
        <f t="shared" si="0"/>
        <v/>
      </c>
      <c r="E55" s="2" t="str">
        <f t="shared" si="2"/>
        <v/>
      </c>
      <c r="F55" s="2" t="str">
        <f t="shared" si="3"/>
        <v/>
      </c>
      <c r="G55" s="2" t="str">
        <f t="shared" si="4"/>
        <v/>
      </c>
      <c r="H55" s="2" t="str">
        <f t="shared" si="5"/>
        <v/>
      </c>
    </row>
    <row r="56" spans="1:8" x14ac:dyDescent="0.25">
      <c r="A56" s="4"/>
      <c r="B56" s="4"/>
      <c r="C56" s="2" t="str">
        <f t="shared" si="1"/>
        <v/>
      </c>
      <c r="D56" s="2" t="str">
        <f t="shared" si="0"/>
        <v/>
      </c>
      <c r="E56" s="2" t="str">
        <f t="shared" si="2"/>
        <v/>
      </c>
      <c r="F56" s="2" t="str">
        <f t="shared" si="3"/>
        <v/>
      </c>
      <c r="G56" s="2" t="str">
        <f t="shared" si="4"/>
        <v/>
      </c>
      <c r="H56" s="2" t="str">
        <f t="shared" si="5"/>
        <v/>
      </c>
    </row>
    <row r="57" spans="1:8" x14ac:dyDescent="0.25">
      <c r="C57" s="2" t="str">
        <f t="shared" si="1"/>
        <v/>
      </c>
      <c r="D57" s="2" t="str">
        <f t="shared" si="0"/>
        <v/>
      </c>
      <c r="E57" s="2" t="str">
        <f t="shared" si="2"/>
        <v/>
      </c>
      <c r="F57" s="2" t="str">
        <f t="shared" si="3"/>
        <v/>
      </c>
      <c r="G57" s="2" t="str">
        <f t="shared" si="4"/>
        <v/>
      </c>
      <c r="H57" s="2" t="str">
        <f t="shared" si="5"/>
        <v/>
      </c>
    </row>
    <row r="58" spans="1:8" x14ac:dyDescent="0.25">
      <c r="C58" s="2" t="str">
        <f t="shared" si="1"/>
        <v/>
      </c>
      <c r="D58" s="2" t="str">
        <f t="shared" si="0"/>
        <v/>
      </c>
      <c r="E58" s="2" t="str">
        <f t="shared" si="2"/>
        <v/>
      </c>
      <c r="F58" s="2" t="str">
        <f t="shared" si="3"/>
        <v/>
      </c>
      <c r="G58" s="2" t="str">
        <f t="shared" si="4"/>
        <v/>
      </c>
      <c r="H58" s="2" t="str">
        <f t="shared" si="5"/>
        <v/>
      </c>
    </row>
    <row r="59" spans="1:8" x14ac:dyDescent="0.25">
      <c r="C59" s="2" t="str">
        <f t="shared" si="1"/>
        <v/>
      </c>
      <c r="D59" s="2" t="str">
        <f t="shared" si="0"/>
        <v/>
      </c>
      <c r="E59" s="2" t="str">
        <f t="shared" si="2"/>
        <v/>
      </c>
      <c r="F59" s="2" t="str">
        <f t="shared" si="3"/>
        <v/>
      </c>
      <c r="G59" s="2" t="str">
        <f t="shared" si="4"/>
        <v/>
      </c>
      <c r="H59" s="2" t="str">
        <f t="shared" si="5"/>
        <v/>
      </c>
    </row>
    <row r="60" spans="1:8" x14ac:dyDescent="0.25">
      <c r="C60" s="2" t="str">
        <f t="shared" si="1"/>
        <v/>
      </c>
      <c r="D60" s="2" t="str">
        <f t="shared" si="0"/>
        <v/>
      </c>
      <c r="E60" s="2" t="str">
        <f t="shared" si="2"/>
        <v/>
      </c>
      <c r="F60" s="2" t="str">
        <f t="shared" si="3"/>
        <v/>
      </c>
      <c r="G60" s="2" t="str">
        <f t="shared" si="4"/>
        <v/>
      </c>
      <c r="H60" s="2" t="str">
        <f t="shared" si="5"/>
        <v/>
      </c>
    </row>
    <row r="61" spans="1:8" x14ac:dyDescent="0.25">
      <c r="C61" s="2" t="str">
        <f t="shared" si="1"/>
        <v/>
      </c>
      <c r="D61" s="2" t="str">
        <f t="shared" si="0"/>
        <v/>
      </c>
      <c r="E61" s="2" t="str">
        <f t="shared" si="2"/>
        <v/>
      </c>
      <c r="F61" s="2" t="str">
        <f t="shared" si="3"/>
        <v/>
      </c>
      <c r="G61" s="2" t="str">
        <f t="shared" si="4"/>
        <v/>
      </c>
      <c r="H61" s="2" t="str">
        <f t="shared" si="5"/>
        <v/>
      </c>
    </row>
    <row r="62" spans="1:8" x14ac:dyDescent="0.25">
      <c r="C62" s="2" t="str">
        <f t="shared" si="1"/>
        <v/>
      </c>
      <c r="D62" s="2" t="str">
        <f t="shared" si="0"/>
        <v/>
      </c>
      <c r="E62" s="2" t="str">
        <f t="shared" si="2"/>
        <v/>
      </c>
      <c r="F62" s="2" t="str">
        <f t="shared" si="3"/>
        <v/>
      </c>
      <c r="G62" s="2" t="str">
        <f t="shared" si="4"/>
        <v/>
      </c>
      <c r="H62" s="2" t="str">
        <f t="shared" si="5"/>
        <v/>
      </c>
    </row>
    <row r="63" spans="1:8" x14ac:dyDescent="0.25">
      <c r="C63" s="2" t="str">
        <f t="shared" si="1"/>
        <v/>
      </c>
      <c r="D63" s="2" t="str">
        <f t="shared" si="0"/>
        <v/>
      </c>
      <c r="E63" s="2" t="str">
        <f t="shared" si="2"/>
        <v/>
      </c>
      <c r="F63" s="2" t="str">
        <f t="shared" si="3"/>
        <v/>
      </c>
      <c r="G63" s="2" t="str">
        <f t="shared" si="4"/>
        <v/>
      </c>
      <c r="H63" s="2" t="str">
        <f t="shared" si="5"/>
        <v/>
      </c>
    </row>
    <row r="64" spans="1:8" x14ac:dyDescent="0.25">
      <c r="C64" s="2" t="str">
        <f t="shared" si="1"/>
        <v/>
      </c>
      <c r="D64" s="2" t="str">
        <f t="shared" si="0"/>
        <v/>
      </c>
      <c r="E64" s="2" t="str">
        <f t="shared" si="2"/>
        <v/>
      </c>
      <c r="F64" s="2" t="str">
        <f t="shared" si="3"/>
        <v/>
      </c>
      <c r="G64" s="2" t="str">
        <f t="shared" si="4"/>
        <v/>
      </c>
      <c r="H64" s="2" t="str">
        <f t="shared" si="5"/>
        <v/>
      </c>
    </row>
    <row r="65" spans="3:8" x14ac:dyDescent="0.25">
      <c r="C65" s="2" t="str">
        <f t="shared" si="1"/>
        <v/>
      </c>
      <c r="D65" s="2" t="str">
        <f t="shared" si="0"/>
        <v/>
      </c>
      <c r="E65" s="2" t="str">
        <f t="shared" si="2"/>
        <v/>
      </c>
      <c r="F65" s="2" t="str">
        <f t="shared" si="3"/>
        <v/>
      </c>
      <c r="G65" s="2" t="str">
        <f t="shared" si="4"/>
        <v/>
      </c>
      <c r="H65" s="2" t="str">
        <f t="shared" si="5"/>
        <v/>
      </c>
    </row>
    <row r="66" spans="3:8" x14ac:dyDescent="0.25">
      <c r="C66" s="2" t="str">
        <f t="shared" si="1"/>
        <v/>
      </c>
      <c r="D66" s="2" t="str">
        <f t="shared" si="1"/>
        <v/>
      </c>
      <c r="E66" s="2" t="str">
        <f t="shared" si="2"/>
        <v/>
      </c>
      <c r="F66" s="2" t="str">
        <f t="shared" si="3"/>
        <v/>
      </c>
      <c r="G66" s="2" t="str">
        <f t="shared" si="4"/>
        <v/>
      </c>
      <c r="H66" s="2" t="str">
        <f t="shared" si="5"/>
        <v/>
      </c>
    </row>
    <row r="67" spans="3:8" x14ac:dyDescent="0.25">
      <c r="C67" s="2" t="str">
        <f t="shared" ref="C67:D130" si="6">IF(AND($A67&lt;&gt;"",$B67&lt;&gt;""),A67,"")</f>
        <v/>
      </c>
      <c r="D67" s="2" t="str">
        <f t="shared" si="6"/>
        <v/>
      </c>
      <c r="E67" s="2" t="str">
        <f t="shared" ref="E67:F130" si="7">IF(C67="","",_xlfn.RANK.AVG(C67,C$2:C$306,1))</f>
        <v/>
      </c>
      <c r="F67" s="2" t="str">
        <f t="shared" si="7"/>
        <v/>
      </c>
      <c r="G67" s="2" t="str">
        <f t="shared" ref="G67:G130" si="8">IF(C67="","",E67-F67)</f>
        <v/>
      </c>
      <c r="H67" s="2" t="str">
        <f t="shared" ref="H67:H130" si="9">IF(C67="","",G67^2)</f>
        <v/>
      </c>
    </row>
    <row r="68" spans="3:8" x14ac:dyDescent="0.25">
      <c r="C68" s="2" t="str">
        <f t="shared" si="6"/>
        <v/>
      </c>
      <c r="D68" s="2" t="str">
        <f t="shared" si="6"/>
        <v/>
      </c>
      <c r="E68" s="2" t="str">
        <f t="shared" si="7"/>
        <v/>
      </c>
      <c r="F68" s="2" t="str">
        <f t="shared" si="7"/>
        <v/>
      </c>
      <c r="G68" s="2" t="str">
        <f t="shared" si="8"/>
        <v/>
      </c>
      <c r="H68" s="2" t="str">
        <f t="shared" si="9"/>
        <v/>
      </c>
    </row>
    <row r="69" spans="3:8" x14ac:dyDescent="0.25">
      <c r="C69" s="2" t="str">
        <f t="shared" si="6"/>
        <v/>
      </c>
      <c r="D69" s="2" t="str">
        <f t="shared" si="6"/>
        <v/>
      </c>
      <c r="E69" s="2" t="str">
        <f t="shared" si="7"/>
        <v/>
      </c>
      <c r="F69" s="2" t="str">
        <f t="shared" si="7"/>
        <v/>
      </c>
      <c r="G69" s="2" t="str">
        <f t="shared" si="8"/>
        <v/>
      </c>
      <c r="H69" s="2" t="str">
        <f t="shared" si="9"/>
        <v/>
      </c>
    </row>
    <row r="70" spans="3:8" x14ac:dyDescent="0.25">
      <c r="C70" s="2" t="str">
        <f t="shared" si="6"/>
        <v/>
      </c>
      <c r="D70" s="2" t="str">
        <f t="shared" si="6"/>
        <v/>
      </c>
      <c r="E70" s="2" t="str">
        <f t="shared" si="7"/>
        <v/>
      </c>
      <c r="F70" s="2" t="str">
        <f t="shared" si="7"/>
        <v/>
      </c>
      <c r="G70" s="2" t="str">
        <f t="shared" si="8"/>
        <v/>
      </c>
      <c r="H70" s="2" t="str">
        <f t="shared" si="9"/>
        <v/>
      </c>
    </row>
    <row r="71" spans="3:8" x14ac:dyDescent="0.25">
      <c r="C71" s="2" t="str">
        <f t="shared" si="6"/>
        <v/>
      </c>
      <c r="D71" s="2" t="str">
        <f t="shared" si="6"/>
        <v/>
      </c>
      <c r="E71" s="2" t="str">
        <f t="shared" si="7"/>
        <v/>
      </c>
      <c r="F71" s="2" t="str">
        <f t="shared" si="7"/>
        <v/>
      </c>
      <c r="G71" s="2" t="str">
        <f t="shared" si="8"/>
        <v/>
      </c>
      <c r="H71" s="2" t="str">
        <f t="shared" si="9"/>
        <v/>
      </c>
    </row>
    <row r="72" spans="3:8" x14ac:dyDescent="0.25">
      <c r="C72" s="2" t="str">
        <f t="shared" si="6"/>
        <v/>
      </c>
      <c r="D72" s="2" t="str">
        <f t="shared" si="6"/>
        <v/>
      </c>
      <c r="E72" s="2" t="str">
        <f t="shared" si="7"/>
        <v/>
      </c>
      <c r="F72" s="2" t="str">
        <f t="shared" si="7"/>
        <v/>
      </c>
      <c r="G72" s="2" t="str">
        <f t="shared" si="8"/>
        <v/>
      </c>
      <c r="H72" s="2" t="str">
        <f t="shared" si="9"/>
        <v/>
      </c>
    </row>
    <row r="73" spans="3:8" x14ac:dyDescent="0.25">
      <c r="C73" s="2" t="str">
        <f t="shared" si="6"/>
        <v/>
      </c>
      <c r="D73" s="2" t="str">
        <f t="shared" si="6"/>
        <v/>
      </c>
      <c r="E73" s="2" t="str">
        <f t="shared" si="7"/>
        <v/>
      </c>
      <c r="F73" s="2" t="str">
        <f t="shared" si="7"/>
        <v/>
      </c>
      <c r="G73" s="2" t="str">
        <f t="shared" si="8"/>
        <v/>
      </c>
      <c r="H73" s="2" t="str">
        <f t="shared" si="9"/>
        <v/>
      </c>
    </row>
    <row r="74" spans="3:8" x14ac:dyDescent="0.25">
      <c r="C74" s="2" t="str">
        <f t="shared" si="6"/>
        <v/>
      </c>
      <c r="D74" s="2" t="str">
        <f t="shared" si="6"/>
        <v/>
      </c>
      <c r="E74" s="2" t="str">
        <f t="shared" si="7"/>
        <v/>
      </c>
      <c r="F74" s="2" t="str">
        <f t="shared" si="7"/>
        <v/>
      </c>
      <c r="G74" s="2" t="str">
        <f t="shared" si="8"/>
        <v/>
      </c>
      <c r="H74" s="2" t="str">
        <f t="shared" si="9"/>
        <v/>
      </c>
    </row>
    <row r="75" spans="3:8" x14ac:dyDescent="0.25">
      <c r="C75" s="2" t="str">
        <f t="shared" si="6"/>
        <v/>
      </c>
      <c r="D75" s="2" t="str">
        <f t="shared" si="6"/>
        <v/>
      </c>
      <c r="E75" s="2" t="str">
        <f t="shared" si="7"/>
        <v/>
      </c>
      <c r="F75" s="2" t="str">
        <f t="shared" si="7"/>
        <v/>
      </c>
      <c r="G75" s="2" t="str">
        <f t="shared" si="8"/>
        <v/>
      </c>
      <c r="H75" s="2" t="str">
        <f t="shared" si="9"/>
        <v/>
      </c>
    </row>
    <row r="76" spans="3:8" x14ac:dyDescent="0.25">
      <c r="C76" s="2" t="str">
        <f t="shared" si="6"/>
        <v/>
      </c>
      <c r="D76" s="2" t="str">
        <f t="shared" si="6"/>
        <v/>
      </c>
      <c r="E76" s="2" t="str">
        <f t="shared" si="7"/>
        <v/>
      </c>
      <c r="F76" s="2" t="str">
        <f t="shared" si="7"/>
        <v/>
      </c>
      <c r="G76" s="2" t="str">
        <f t="shared" si="8"/>
        <v/>
      </c>
      <c r="H76" s="2" t="str">
        <f t="shared" si="9"/>
        <v/>
      </c>
    </row>
    <row r="77" spans="3:8" x14ac:dyDescent="0.25">
      <c r="C77" s="2" t="str">
        <f t="shared" si="6"/>
        <v/>
      </c>
      <c r="D77" s="2" t="str">
        <f t="shared" si="6"/>
        <v/>
      </c>
      <c r="E77" s="2" t="str">
        <f t="shared" si="7"/>
        <v/>
      </c>
      <c r="F77" s="2" t="str">
        <f t="shared" si="7"/>
        <v/>
      </c>
      <c r="G77" s="2" t="str">
        <f t="shared" si="8"/>
        <v/>
      </c>
      <c r="H77" s="2" t="str">
        <f t="shared" si="9"/>
        <v/>
      </c>
    </row>
    <row r="78" spans="3:8" x14ac:dyDescent="0.25">
      <c r="C78" s="2" t="str">
        <f t="shared" si="6"/>
        <v/>
      </c>
      <c r="D78" s="2" t="str">
        <f t="shared" si="6"/>
        <v/>
      </c>
      <c r="E78" s="2" t="str">
        <f t="shared" si="7"/>
        <v/>
      </c>
      <c r="F78" s="2" t="str">
        <f t="shared" si="7"/>
        <v/>
      </c>
      <c r="G78" s="2" t="str">
        <f t="shared" si="8"/>
        <v/>
      </c>
      <c r="H78" s="2" t="str">
        <f t="shared" si="9"/>
        <v/>
      </c>
    </row>
    <row r="79" spans="3:8" x14ac:dyDescent="0.25">
      <c r="C79" s="2" t="str">
        <f t="shared" si="6"/>
        <v/>
      </c>
      <c r="D79" s="2" t="str">
        <f t="shared" si="6"/>
        <v/>
      </c>
      <c r="E79" s="2" t="str">
        <f t="shared" si="7"/>
        <v/>
      </c>
      <c r="F79" s="2" t="str">
        <f t="shared" si="7"/>
        <v/>
      </c>
      <c r="G79" s="2" t="str">
        <f t="shared" si="8"/>
        <v/>
      </c>
      <c r="H79" s="2" t="str">
        <f t="shared" si="9"/>
        <v/>
      </c>
    </row>
    <row r="80" spans="3:8" x14ac:dyDescent="0.25">
      <c r="C80" s="2" t="str">
        <f t="shared" si="6"/>
        <v/>
      </c>
      <c r="D80" s="2" t="str">
        <f t="shared" si="6"/>
        <v/>
      </c>
      <c r="E80" s="2" t="str">
        <f t="shared" si="7"/>
        <v/>
      </c>
      <c r="F80" s="2" t="str">
        <f t="shared" si="7"/>
        <v/>
      </c>
      <c r="G80" s="2" t="str">
        <f t="shared" si="8"/>
        <v/>
      </c>
      <c r="H80" s="2" t="str">
        <f t="shared" si="9"/>
        <v/>
      </c>
    </row>
    <row r="81" spans="3:8" x14ac:dyDescent="0.25">
      <c r="C81" s="2" t="str">
        <f t="shared" si="6"/>
        <v/>
      </c>
      <c r="D81" s="2" t="str">
        <f t="shared" si="6"/>
        <v/>
      </c>
      <c r="E81" s="2" t="str">
        <f t="shared" si="7"/>
        <v/>
      </c>
      <c r="F81" s="2" t="str">
        <f t="shared" si="7"/>
        <v/>
      </c>
      <c r="G81" s="2" t="str">
        <f t="shared" si="8"/>
        <v/>
      </c>
      <c r="H81" s="2" t="str">
        <f t="shared" si="9"/>
        <v/>
      </c>
    </row>
    <row r="82" spans="3:8" x14ac:dyDescent="0.25">
      <c r="C82" s="2" t="str">
        <f t="shared" si="6"/>
        <v/>
      </c>
      <c r="D82" s="2" t="str">
        <f t="shared" si="6"/>
        <v/>
      </c>
      <c r="E82" s="2" t="str">
        <f t="shared" si="7"/>
        <v/>
      </c>
      <c r="F82" s="2" t="str">
        <f t="shared" si="7"/>
        <v/>
      </c>
      <c r="G82" s="2" t="str">
        <f t="shared" si="8"/>
        <v/>
      </c>
      <c r="H82" s="2" t="str">
        <f t="shared" si="9"/>
        <v/>
      </c>
    </row>
    <row r="83" spans="3:8" x14ac:dyDescent="0.25">
      <c r="C83" s="2" t="str">
        <f t="shared" si="6"/>
        <v/>
      </c>
      <c r="D83" s="2" t="str">
        <f t="shared" si="6"/>
        <v/>
      </c>
      <c r="E83" s="2" t="str">
        <f t="shared" si="7"/>
        <v/>
      </c>
      <c r="F83" s="2" t="str">
        <f t="shared" si="7"/>
        <v/>
      </c>
      <c r="G83" s="2" t="str">
        <f t="shared" si="8"/>
        <v/>
      </c>
      <c r="H83" s="2" t="str">
        <f t="shared" si="9"/>
        <v/>
      </c>
    </row>
    <row r="84" spans="3:8" x14ac:dyDescent="0.25">
      <c r="C84" s="2" t="str">
        <f t="shared" si="6"/>
        <v/>
      </c>
      <c r="D84" s="2" t="str">
        <f t="shared" si="6"/>
        <v/>
      </c>
      <c r="E84" s="2" t="str">
        <f t="shared" si="7"/>
        <v/>
      </c>
      <c r="F84" s="2" t="str">
        <f t="shared" si="7"/>
        <v/>
      </c>
      <c r="G84" s="2" t="str">
        <f t="shared" si="8"/>
        <v/>
      </c>
      <c r="H84" s="2" t="str">
        <f t="shared" si="9"/>
        <v/>
      </c>
    </row>
    <row r="85" spans="3:8" x14ac:dyDescent="0.25">
      <c r="C85" s="2" t="str">
        <f t="shared" si="6"/>
        <v/>
      </c>
      <c r="D85" s="2" t="str">
        <f t="shared" si="6"/>
        <v/>
      </c>
      <c r="E85" s="2" t="str">
        <f t="shared" si="7"/>
        <v/>
      </c>
      <c r="F85" s="2" t="str">
        <f t="shared" si="7"/>
        <v/>
      </c>
      <c r="G85" s="2" t="str">
        <f t="shared" si="8"/>
        <v/>
      </c>
      <c r="H85" s="2" t="str">
        <f t="shared" si="9"/>
        <v/>
      </c>
    </row>
    <row r="86" spans="3:8" x14ac:dyDescent="0.25">
      <c r="C86" s="2" t="str">
        <f t="shared" si="6"/>
        <v/>
      </c>
      <c r="D86" s="2" t="str">
        <f t="shared" si="6"/>
        <v/>
      </c>
      <c r="E86" s="2" t="str">
        <f t="shared" si="7"/>
        <v/>
      </c>
      <c r="F86" s="2" t="str">
        <f t="shared" si="7"/>
        <v/>
      </c>
      <c r="G86" s="2" t="str">
        <f t="shared" si="8"/>
        <v/>
      </c>
      <c r="H86" s="2" t="str">
        <f t="shared" si="9"/>
        <v/>
      </c>
    </row>
    <row r="87" spans="3:8" x14ac:dyDescent="0.25">
      <c r="C87" s="2" t="str">
        <f t="shared" si="6"/>
        <v/>
      </c>
      <c r="D87" s="2" t="str">
        <f t="shared" si="6"/>
        <v/>
      </c>
      <c r="E87" s="2" t="str">
        <f t="shared" si="7"/>
        <v/>
      </c>
      <c r="F87" s="2" t="str">
        <f t="shared" si="7"/>
        <v/>
      </c>
      <c r="G87" s="2" t="str">
        <f t="shared" si="8"/>
        <v/>
      </c>
      <c r="H87" s="2" t="str">
        <f t="shared" si="9"/>
        <v/>
      </c>
    </row>
    <row r="88" spans="3:8" x14ac:dyDescent="0.25">
      <c r="C88" s="2" t="str">
        <f t="shared" si="6"/>
        <v/>
      </c>
      <c r="D88" s="2" t="str">
        <f t="shared" si="6"/>
        <v/>
      </c>
      <c r="E88" s="2" t="str">
        <f t="shared" si="7"/>
        <v/>
      </c>
      <c r="F88" s="2" t="str">
        <f t="shared" si="7"/>
        <v/>
      </c>
      <c r="G88" s="2" t="str">
        <f t="shared" si="8"/>
        <v/>
      </c>
      <c r="H88" s="2" t="str">
        <f t="shared" si="9"/>
        <v/>
      </c>
    </row>
    <row r="89" spans="3:8" x14ac:dyDescent="0.25">
      <c r="C89" s="2" t="str">
        <f t="shared" si="6"/>
        <v/>
      </c>
      <c r="D89" s="2" t="str">
        <f t="shared" si="6"/>
        <v/>
      </c>
      <c r="E89" s="2" t="str">
        <f t="shared" si="7"/>
        <v/>
      </c>
      <c r="F89" s="2" t="str">
        <f t="shared" si="7"/>
        <v/>
      </c>
      <c r="G89" s="2" t="str">
        <f t="shared" si="8"/>
        <v/>
      </c>
      <c r="H89" s="2" t="str">
        <f t="shared" si="9"/>
        <v/>
      </c>
    </row>
    <row r="90" spans="3:8" x14ac:dyDescent="0.25">
      <c r="C90" s="2" t="str">
        <f t="shared" si="6"/>
        <v/>
      </c>
      <c r="D90" s="2" t="str">
        <f t="shared" si="6"/>
        <v/>
      </c>
      <c r="E90" s="2" t="str">
        <f t="shared" si="7"/>
        <v/>
      </c>
      <c r="F90" s="2" t="str">
        <f t="shared" si="7"/>
        <v/>
      </c>
      <c r="G90" s="2" t="str">
        <f t="shared" si="8"/>
        <v/>
      </c>
      <c r="H90" s="2" t="str">
        <f t="shared" si="9"/>
        <v/>
      </c>
    </row>
    <row r="91" spans="3:8" x14ac:dyDescent="0.25">
      <c r="C91" s="2" t="str">
        <f t="shared" si="6"/>
        <v/>
      </c>
      <c r="D91" s="2" t="str">
        <f t="shared" si="6"/>
        <v/>
      </c>
      <c r="E91" s="2" t="str">
        <f t="shared" si="7"/>
        <v/>
      </c>
      <c r="F91" s="2" t="str">
        <f t="shared" si="7"/>
        <v/>
      </c>
      <c r="G91" s="2" t="str">
        <f t="shared" si="8"/>
        <v/>
      </c>
      <c r="H91" s="2" t="str">
        <f t="shared" si="9"/>
        <v/>
      </c>
    </row>
    <row r="92" spans="3:8" x14ac:dyDescent="0.25">
      <c r="C92" s="2" t="str">
        <f t="shared" si="6"/>
        <v/>
      </c>
      <c r="D92" s="2" t="str">
        <f t="shared" si="6"/>
        <v/>
      </c>
      <c r="E92" s="2" t="str">
        <f t="shared" si="7"/>
        <v/>
      </c>
      <c r="F92" s="2" t="str">
        <f t="shared" si="7"/>
        <v/>
      </c>
      <c r="G92" s="2" t="str">
        <f t="shared" si="8"/>
        <v/>
      </c>
      <c r="H92" s="2" t="str">
        <f t="shared" si="9"/>
        <v/>
      </c>
    </row>
    <row r="93" spans="3:8" x14ac:dyDescent="0.25">
      <c r="C93" s="2" t="str">
        <f t="shared" si="6"/>
        <v/>
      </c>
      <c r="D93" s="2" t="str">
        <f t="shared" si="6"/>
        <v/>
      </c>
      <c r="E93" s="2" t="str">
        <f t="shared" si="7"/>
        <v/>
      </c>
      <c r="F93" s="2" t="str">
        <f t="shared" si="7"/>
        <v/>
      </c>
      <c r="G93" s="2" t="str">
        <f t="shared" si="8"/>
        <v/>
      </c>
      <c r="H93" s="2" t="str">
        <f t="shared" si="9"/>
        <v/>
      </c>
    </row>
    <row r="94" spans="3:8" x14ac:dyDescent="0.25">
      <c r="C94" s="2" t="str">
        <f t="shared" si="6"/>
        <v/>
      </c>
      <c r="D94" s="2" t="str">
        <f t="shared" si="6"/>
        <v/>
      </c>
      <c r="E94" s="2" t="str">
        <f t="shared" si="7"/>
        <v/>
      </c>
      <c r="F94" s="2" t="str">
        <f t="shared" si="7"/>
        <v/>
      </c>
      <c r="G94" s="2" t="str">
        <f t="shared" si="8"/>
        <v/>
      </c>
      <c r="H94" s="2" t="str">
        <f t="shared" si="9"/>
        <v/>
      </c>
    </row>
    <row r="95" spans="3:8" x14ac:dyDescent="0.25">
      <c r="C95" s="2" t="str">
        <f t="shared" si="6"/>
        <v/>
      </c>
      <c r="D95" s="2" t="str">
        <f t="shared" si="6"/>
        <v/>
      </c>
      <c r="E95" s="2" t="str">
        <f t="shared" si="7"/>
        <v/>
      </c>
      <c r="F95" s="2" t="str">
        <f t="shared" si="7"/>
        <v/>
      </c>
      <c r="G95" s="2" t="str">
        <f t="shared" si="8"/>
        <v/>
      </c>
      <c r="H95" s="2" t="str">
        <f t="shared" si="9"/>
        <v/>
      </c>
    </row>
    <row r="96" spans="3:8" x14ac:dyDescent="0.25">
      <c r="C96" s="2" t="str">
        <f t="shared" si="6"/>
        <v/>
      </c>
      <c r="D96" s="2" t="str">
        <f t="shared" si="6"/>
        <v/>
      </c>
      <c r="E96" s="2" t="str">
        <f t="shared" si="7"/>
        <v/>
      </c>
      <c r="F96" s="2" t="str">
        <f t="shared" si="7"/>
        <v/>
      </c>
      <c r="G96" s="2" t="str">
        <f t="shared" si="8"/>
        <v/>
      </c>
      <c r="H96" s="2" t="str">
        <f t="shared" si="9"/>
        <v/>
      </c>
    </row>
    <row r="97" spans="3:8" x14ac:dyDescent="0.25">
      <c r="C97" s="2" t="str">
        <f t="shared" si="6"/>
        <v/>
      </c>
      <c r="D97" s="2" t="str">
        <f t="shared" si="6"/>
        <v/>
      </c>
      <c r="E97" s="2" t="str">
        <f t="shared" si="7"/>
        <v/>
      </c>
      <c r="F97" s="2" t="str">
        <f t="shared" si="7"/>
        <v/>
      </c>
      <c r="G97" s="2" t="str">
        <f t="shared" si="8"/>
        <v/>
      </c>
      <c r="H97" s="2" t="str">
        <f t="shared" si="9"/>
        <v/>
      </c>
    </row>
    <row r="98" spans="3:8" x14ac:dyDescent="0.25">
      <c r="C98" s="2" t="str">
        <f t="shared" si="6"/>
        <v/>
      </c>
      <c r="D98" s="2" t="str">
        <f t="shared" si="6"/>
        <v/>
      </c>
      <c r="E98" s="2" t="str">
        <f t="shared" si="7"/>
        <v/>
      </c>
      <c r="F98" s="2" t="str">
        <f t="shared" si="7"/>
        <v/>
      </c>
      <c r="G98" s="2" t="str">
        <f t="shared" si="8"/>
        <v/>
      </c>
      <c r="H98" s="2" t="str">
        <f t="shared" si="9"/>
        <v/>
      </c>
    </row>
    <row r="99" spans="3:8" x14ac:dyDescent="0.25">
      <c r="C99" s="2" t="str">
        <f t="shared" si="6"/>
        <v/>
      </c>
      <c r="D99" s="2" t="str">
        <f t="shared" si="6"/>
        <v/>
      </c>
      <c r="E99" s="2" t="str">
        <f t="shared" si="7"/>
        <v/>
      </c>
      <c r="F99" s="2" t="str">
        <f t="shared" si="7"/>
        <v/>
      </c>
      <c r="G99" s="2" t="str">
        <f t="shared" si="8"/>
        <v/>
      </c>
      <c r="H99" s="2" t="str">
        <f t="shared" si="9"/>
        <v/>
      </c>
    </row>
    <row r="100" spans="3:8" x14ac:dyDescent="0.25">
      <c r="C100" s="2" t="str">
        <f t="shared" si="6"/>
        <v/>
      </c>
      <c r="D100" s="2" t="str">
        <f t="shared" si="6"/>
        <v/>
      </c>
      <c r="E100" s="2" t="str">
        <f t="shared" si="7"/>
        <v/>
      </c>
      <c r="F100" s="2" t="str">
        <f t="shared" si="7"/>
        <v/>
      </c>
      <c r="G100" s="2" t="str">
        <f t="shared" si="8"/>
        <v/>
      </c>
      <c r="H100" s="2" t="str">
        <f t="shared" si="9"/>
        <v/>
      </c>
    </row>
    <row r="101" spans="3:8" x14ac:dyDescent="0.25">
      <c r="C101" s="2" t="str">
        <f t="shared" si="6"/>
        <v/>
      </c>
      <c r="D101" s="2" t="str">
        <f t="shared" si="6"/>
        <v/>
      </c>
      <c r="E101" s="2" t="str">
        <f t="shared" si="7"/>
        <v/>
      </c>
      <c r="F101" s="2" t="str">
        <f t="shared" si="7"/>
        <v/>
      </c>
      <c r="G101" s="2" t="str">
        <f t="shared" si="8"/>
        <v/>
      </c>
      <c r="H101" s="2" t="str">
        <f t="shared" si="9"/>
        <v/>
      </c>
    </row>
    <row r="102" spans="3:8" x14ac:dyDescent="0.25">
      <c r="C102" s="2" t="str">
        <f t="shared" si="6"/>
        <v/>
      </c>
      <c r="D102" s="2" t="str">
        <f t="shared" si="6"/>
        <v/>
      </c>
      <c r="E102" s="2" t="str">
        <f t="shared" si="7"/>
        <v/>
      </c>
      <c r="F102" s="2" t="str">
        <f t="shared" si="7"/>
        <v/>
      </c>
      <c r="G102" s="2" t="str">
        <f t="shared" si="8"/>
        <v/>
      </c>
      <c r="H102" s="2" t="str">
        <f t="shared" si="9"/>
        <v/>
      </c>
    </row>
    <row r="103" spans="3:8" x14ac:dyDescent="0.25">
      <c r="C103" s="2" t="str">
        <f t="shared" si="6"/>
        <v/>
      </c>
      <c r="D103" s="2" t="str">
        <f t="shared" si="6"/>
        <v/>
      </c>
      <c r="E103" s="2" t="str">
        <f t="shared" si="7"/>
        <v/>
      </c>
      <c r="F103" s="2" t="str">
        <f t="shared" si="7"/>
        <v/>
      </c>
      <c r="G103" s="2" t="str">
        <f t="shared" si="8"/>
        <v/>
      </c>
      <c r="H103" s="2" t="str">
        <f t="shared" si="9"/>
        <v/>
      </c>
    </row>
    <row r="104" spans="3:8" x14ac:dyDescent="0.25">
      <c r="C104" s="2" t="str">
        <f t="shared" si="6"/>
        <v/>
      </c>
      <c r="D104" s="2" t="str">
        <f t="shared" si="6"/>
        <v/>
      </c>
      <c r="E104" s="2" t="str">
        <f t="shared" si="7"/>
        <v/>
      </c>
      <c r="F104" s="2" t="str">
        <f t="shared" si="7"/>
        <v/>
      </c>
      <c r="G104" s="2" t="str">
        <f t="shared" si="8"/>
        <v/>
      </c>
      <c r="H104" s="2" t="str">
        <f t="shared" si="9"/>
        <v/>
      </c>
    </row>
    <row r="105" spans="3:8" x14ac:dyDescent="0.25">
      <c r="C105" s="2" t="str">
        <f t="shared" si="6"/>
        <v/>
      </c>
      <c r="D105" s="2" t="str">
        <f t="shared" si="6"/>
        <v/>
      </c>
      <c r="E105" s="2" t="str">
        <f t="shared" si="7"/>
        <v/>
      </c>
      <c r="F105" s="2" t="str">
        <f t="shared" si="7"/>
        <v/>
      </c>
      <c r="G105" s="2" t="str">
        <f t="shared" si="8"/>
        <v/>
      </c>
      <c r="H105" s="2" t="str">
        <f t="shared" si="9"/>
        <v/>
      </c>
    </row>
    <row r="106" spans="3:8" x14ac:dyDescent="0.25">
      <c r="C106" s="2" t="str">
        <f t="shared" si="6"/>
        <v/>
      </c>
      <c r="D106" s="2" t="str">
        <f t="shared" si="6"/>
        <v/>
      </c>
      <c r="E106" s="2" t="str">
        <f t="shared" si="7"/>
        <v/>
      </c>
      <c r="F106" s="2" t="str">
        <f t="shared" si="7"/>
        <v/>
      </c>
      <c r="G106" s="2" t="str">
        <f t="shared" si="8"/>
        <v/>
      </c>
      <c r="H106" s="2" t="str">
        <f t="shared" si="9"/>
        <v/>
      </c>
    </row>
    <row r="107" spans="3:8" x14ac:dyDescent="0.25">
      <c r="C107" s="2" t="str">
        <f t="shared" si="6"/>
        <v/>
      </c>
      <c r="D107" s="2" t="str">
        <f t="shared" si="6"/>
        <v/>
      </c>
      <c r="E107" s="2" t="str">
        <f t="shared" si="7"/>
        <v/>
      </c>
      <c r="F107" s="2" t="str">
        <f t="shared" si="7"/>
        <v/>
      </c>
      <c r="G107" s="2" t="str">
        <f t="shared" si="8"/>
        <v/>
      </c>
      <c r="H107" s="2" t="str">
        <f t="shared" si="9"/>
        <v/>
      </c>
    </row>
    <row r="108" spans="3:8" x14ac:dyDescent="0.25">
      <c r="C108" s="2" t="str">
        <f t="shared" si="6"/>
        <v/>
      </c>
      <c r="D108" s="2" t="str">
        <f t="shared" si="6"/>
        <v/>
      </c>
      <c r="E108" s="2" t="str">
        <f t="shared" si="7"/>
        <v/>
      </c>
      <c r="F108" s="2" t="str">
        <f t="shared" si="7"/>
        <v/>
      </c>
      <c r="G108" s="2" t="str">
        <f t="shared" si="8"/>
        <v/>
      </c>
      <c r="H108" s="2" t="str">
        <f t="shared" si="9"/>
        <v/>
      </c>
    </row>
    <row r="109" spans="3:8" x14ac:dyDescent="0.25">
      <c r="C109" s="2" t="str">
        <f t="shared" si="6"/>
        <v/>
      </c>
      <c r="D109" s="2" t="str">
        <f t="shared" si="6"/>
        <v/>
      </c>
      <c r="E109" s="2" t="str">
        <f t="shared" si="7"/>
        <v/>
      </c>
      <c r="F109" s="2" t="str">
        <f t="shared" si="7"/>
        <v/>
      </c>
      <c r="G109" s="2" t="str">
        <f t="shared" si="8"/>
        <v/>
      </c>
      <c r="H109" s="2" t="str">
        <f t="shared" si="9"/>
        <v/>
      </c>
    </row>
    <row r="110" spans="3:8" x14ac:dyDescent="0.25">
      <c r="C110" s="2" t="str">
        <f t="shared" si="6"/>
        <v/>
      </c>
      <c r="D110" s="2" t="str">
        <f t="shared" si="6"/>
        <v/>
      </c>
      <c r="E110" s="2" t="str">
        <f t="shared" si="7"/>
        <v/>
      </c>
      <c r="F110" s="2" t="str">
        <f t="shared" si="7"/>
        <v/>
      </c>
      <c r="G110" s="2" t="str">
        <f t="shared" si="8"/>
        <v/>
      </c>
      <c r="H110" s="2" t="str">
        <f t="shared" si="9"/>
        <v/>
      </c>
    </row>
    <row r="111" spans="3:8" x14ac:dyDescent="0.25">
      <c r="C111" s="2" t="str">
        <f t="shared" si="6"/>
        <v/>
      </c>
      <c r="D111" s="2" t="str">
        <f t="shared" si="6"/>
        <v/>
      </c>
      <c r="E111" s="2" t="str">
        <f t="shared" si="7"/>
        <v/>
      </c>
      <c r="F111" s="2" t="str">
        <f t="shared" si="7"/>
        <v/>
      </c>
      <c r="G111" s="2" t="str">
        <f t="shared" si="8"/>
        <v/>
      </c>
      <c r="H111" s="2" t="str">
        <f t="shared" si="9"/>
        <v/>
      </c>
    </row>
    <row r="112" spans="3:8" x14ac:dyDescent="0.25">
      <c r="C112" s="2" t="str">
        <f t="shared" si="6"/>
        <v/>
      </c>
      <c r="D112" s="2" t="str">
        <f t="shared" si="6"/>
        <v/>
      </c>
      <c r="E112" s="2" t="str">
        <f t="shared" si="7"/>
        <v/>
      </c>
      <c r="F112" s="2" t="str">
        <f t="shared" si="7"/>
        <v/>
      </c>
      <c r="G112" s="2" t="str">
        <f t="shared" si="8"/>
        <v/>
      </c>
      <c r="H112" s="2" t="str">
        <f t="shared" si="9"/>
        <v/>
      </c>
    </row>
    <row r="113" spans="3:8" x14ac:dyDescent="0.25">
      <c r="C113" s="2" t="str">
        <f t="shared" si="6"/>
        <v/>
      </c>
      <c r="D113" s="2" t="str">
        <f t="shared" si="6"/>
        <v/>
      </c>
      <c r="E113" s="2" t="str">
        <f t="shared" si="7"/>
        <v/>
      </c>
      <c r="F113" s="2" t="str">
        <f t="shared" si="7"/>
        <v/>
      </c>
      <c r="G113" s="2" t="str">
        <f t="shared" si="8"/>
        <v/>
      </c>
      <c r="H113" s="2" t="str">
        <f t="shared" si="9"/>
        <v/>
      </c>
    </row>
    <row r="114" spans="3:8" x14ac:dyDescent="0.25">
      <c r="C114" s="2" t="str">
        <f t="shared" si="6"/>
        <v/>
      </c>
      <c r="D114" s="2" t="str">
        <f t="shared" si="6"/>
        <v/>
      </c>
      <c r="E114" s="2" t="str">
        <f t="shared" si="7"/>
        <v/>
      </c>
      <c r="F114" s="2" t="str">
        <f t="shared" si="7"/>
        <v/>
      </c>
      <c r="G114" s="2" t="str">
        <f t="shared" si="8"/>
        <v/>
      </c>
      <c r="H114" s="2" t="str">
        <f t="shared" si="9"/>
        <v/>
      </c>
    </row>
    <row r="115" spans="3:8" x14ac:dyDescent="0.25">
      <c r="C115" s="2" t="str">
        <f t="shared" si="6"/>
        <v/>
      </c>
      <c r="D115" s="2" t="str">
        <f t="shared" si="6"/>
        <v/>
      </c>
      <c r="E115" s="2" t="str">
        <f t="shared" si="7"/>
        <v/>
      </c>
      <c r="F115" s="2" t="str">
        <f t="shared" si="7"/>
        <v/>
      </c>
      <c r="G115" s="2" t="str">
        <f t="shared" si="8"/>
        <v/>
      </c>
      <c r="H115" s="2" t="str">
        <f t="shared" si="9"/>
        <v/>
      </c>
    </row>
    <row r="116" spans="3:8" x14ac:dyDescent="0.25">
      <c r="C116" s="2" t="str">
        <f t="shared" si="6"/>
        <v/>
      </c>
      <c r="D116" s="2" t="str">
        <f t="shared" si="6"/>
        <v/>
      </c>
      <c r="E116" s="2" t="str">
        <f t="shared" si="7"/>
        <v/>
      </c>
      <c r="F116" s="2" t="str">
        <f t="shared" si="7"/>
        <v/>
      </c>
      <c r="G116" s="2" t="str">
        <f t="shared" si="8"/>
        <v/>
      </c>
      <c r="H116" s="2" t="str">
        <f t="shared" si="9"/>
        <v/>
      </c>
    </row>
    <row r="117" spans="3:8" x14ac:dyDescent="0.25">
      <c r="C117" s="2" t="str">
        <f t="shared" si="6"/>
        <v/>
      </c>
      <c r="D117" s="2" t="str">
        <f t="shared" si="6"/>
        <v/>
      </c>
      <c r="E117" s="2" t="str">
        <f t="shared" si="7"/>
        <v/>
      </c>
      <c r="F117" s="2" t="str">
        <f t="shared" si="7"/>
        <v/>
      </c>
      <c r="G117" s="2" t="str">
        <f t="shared" si="8"/>
        <v/>
      </c>
      <c r="H117" s="2" t="str">
        <f t="shared" si="9"/>
        <v/>
      </c>
    </row>
    <row r="118" spans="3:8" x14ac:dyDescent="0.25">
      <c r="C118" s="2" t="str">
        <f t="shared" si="6"/>
        <v/>
      </c>
      <c r="D118" s="2" t="str">
        <f t="shared" si="6"/>
        <v/>
      </c>
      <c r="E118" s="2" t="str">
        <f t="shared" si="7"/>
        <v/>
      </c>
      <c r="F118" s="2" t="str">
        <f t="shared" si="7"/>
        <v/>
      </c>
      <c r="G118" s="2" t="str">
        <f t="shared" si="8"/>
        <v/>
      </c>
      <c r="H118" s="2" t="str">
        <f t="shared" si="9"/>
        <v/>
      </c>
    </row>
    <row r="119" spans="3:8" x14ac:dyDescent="0.25">
      <c r="C119" s="2" t="str">
        <f t="shared" si="6"/>
        <v/>
      </c>
      <c r="D119" s="2" t="str">
        <f t="shared" si="6"/>
        <v/>
      </c>
      <c r="E119" s="2" t="str">
        <f t="shared" si="7"/>
        <v/>
      </c>
      <c r="F119" s="2" t="str">
        <f t="shared" si="7"/>
        <v/>
      </c>
      <c r="G119" s="2" t="str">
        <f t="shared" si="8"/>
        <v/>
      </c>
      <c r="H119" s="2" t="str">
        <f t="shared" si="9"/>
        <v/>
      </c>
    </row>
    <row r="120" spans="3:8" x14ac:dyDescent="0.25">
      <c r="C120" s="2" t="str">
        <f t="shared" si="6"/>
        <v/>
      </c>
      <c r="D120" s="2" t="str">
        <f t="shared" si="6"/>
        <v/>
      </c>
      <c r="E120" s="2" t="str">
        <f t="shared" si="7"/>
        <v/>
      </c>
      <c r="F120" s="2" t="str">
        <f t="shared" si="7"/>
        <v/>
      </c>
      <c r="G120" s="2" t="str">
        <f t="shared" si="8"/>
        <v/>
      </c>
      <c r="H120" s="2" t="str">
        <f t="shared" si="9"/>
        <v/>
      </c>
    </row>
    <row r="121" spans="3:8" x14ac:dyDescent="0.25">
      <c r="C121" s="2" t="str">
        <f t="shared" si="6"/>
        <v/>
      </c>
      <c r="D121" s="2" t="str">
        <f t="shared" si="6"/>
        <v/>
      </c>
      <c r="E121" s="2" t="str">
        <f t="shared" si="7"/>
        <v/>
      </c>
      <c r="F121" s="2" t="str">
        <f t="shared" si="7"/>
        <v/>
      </c>
      <c r="G121" s="2" t="str">
        <f t="shared" si="8"/>
        <v/>
      </c>
      <c r="H121" s="2" t="str">
        <f t="shared" si="9"/>
        <v/>
      </c>
    </row>
    <row r="122" spans="3:8" x14ac:dyDescent="0.25">
      <c r="C122" s="2" t="str">
        <f t="shared" si="6"/>
        <v/>
      </c>
      <c r="D122" s="2" t="str">
        <f t="shared" si="6"/>
        <v/>
      </c>
      <c r="E122" s="2" t="str">
        <f t="shared" si="7"/>
        <v/>
      </c>
      <c r="F122" s="2" t="str">
        <f t="shared" si="7"/>
        <v/>
      </c>
      <c r="G122" s="2" t="str">
        <f t="shared" si="8"/>
        <v/>
      </c>
      <c r="H122" s="2" t="str">
        <f t="shared" si="9"/>
        <v/>
      </c>
    </row>
    <row r="123" spans="3:8" x14ac:dyDescent="0.25">
      <c r="C123" s="2" t="str">
        <f t="shared" si="6"/>
        <v/>
      </c>
      <c r="D123" s="2" t="str">
        <f t="shared" si="6"/>
        <v/>
      </c>
      <c r="E123" s="2" t="str">
        <f t="shared" si="7"/>
        <v/>
      </c>
      <c r="F123" s="2" t="str">
        <f t="shared" si="7"/>
        <v/>
      </c>
      <c r="G123" s="2" t="str">
        <f t="shared" si="8"/>
        <v/>
      </c>
      <c r="H123" s="2" t="str">
        <f t="shared" si="9"/>
        <v/>
      </c>
    </row>
    <row r="124" spans="3:8" x14ac:dyDescent="0.25">
      <c r="C124" s="2" t="str">
        <f t="shared" si="6"/>
        <v/>
      </c>
      <c r="D124" s="2" t="str">
        <f t="shared" si="6"/>
        <v/>
      </c>
      <c r="E124" s="2" t="str">
        <f t="shared" si="7"/>
        <v/>
      </c>
      <c r="F124" s="2" t="str">
        <f t="shared" si="7"/>
        <v/>
      </c>
      <c r="G124" s="2" t="str">
        <f t="shared" si="8"/>
        <v/>
      </c>
      <c r="H124" s="2" t="str">
        <f t="shared" si="9"/>
        <v/>
      </c>
    </row>
    <row r="125" spans="3:8" x14ac:dyDescent="0.25">
      <c r="C125" s="2" t="str">
        <f t="shared" si="6"/>
        <v/>
      </c>
      <c r="D125" s="2" t="str">
        <f t="shared" si="6"/>
        <v/>
      </c>
      <c r="E125" s="2" t="str">
        <f t="shared" si="7"/>
        <v/>
      </c>
      <c r="F125" s="2" t="str">
        <f t="shared" si="7"/>
        <v/>
      </c>
      <c r="G125" s="2" t="str">
        <f t="shared" si="8"/>
        <v/>
      </c>
      <c r="H125" s="2" t="str">
        <f t="shared" si="9"/>
        <v/>
      </c>
    </row>
    <row r="126" spans="3:8" x14ac:dyDescent="0.25">
      <c r="C126" s="2" t="str">
        <f t="shared" si="6"/>
        <v/>
      </c>
      <c r="D126" s="2" t="str">
        <f t="shared" si="6"/>
        <v/>
      </c>
      <c r="E126" s="2" t="str">
        <f t="shared" si="7"/>
        <v/>
      </c>
      <c r="F126" s="2" t="str">
        <f t="shared" si="7"/>
        <v/>
      </c>
      <c r="G126" s="2" t="str">
        <f t="shared" si="8"/>
        <v/>
      </c>
      <c r="H126" s="2" t="str">
        <f t="shared" si="9"/>
        <v/>
      </c>
    </row>
    <row r="127" spans="3:8" x14ac:dyDescent="0.25">
      <c r="C127" s="2" t="str">
        <f t="shared" si="6"/>
        <v/>
      </c>
      <c r="D127" s="2" t="str">
        <f t="shared" si="6"/>
        <v/>
      </c>
      <c r="E127" s="2" t="str">
        <f t="shared" si="7"/>
        <v/>
      </c>
      <c r="F127" s="2" t="str">
        <f t="shared" si="7"/>
        <v/>
      </c>
      <c r="G127" s="2" t="str">
        <f t="shared" si="8"/>
        <v/>
      </c>
      <c r="H127" s="2" t="str">
        <f t="shared" si="9"/>
        <v/>
      </c>
    </row>
    <row r="128" spans="3:8" x14ac:dyDescent="0.25">
      <c r="C128" s="2" t="str">
        <f t="shared" si="6"/>
        <v/>
      </c>
      <c r="D128" s="2" t="str">
        <f t="shared" si="6"/>
        <v/>
      </c>
      <c r="E128" s="2" t="str">
        <f t="shared" si="7"/>
        <v/>
      </c>
      <c r="F128" s="2" t="str">
        <f t="shared" si="7"/>
        <v/>
      </c>
      <c r="G128" s="2" t="str">
        <f t="shared" si="8"/>
        <v/>
      </c>
      <c r="H128" s="2" t="str">
        <f t="shared" si="9"/>
        <v/>
      </c>
    </row>
    <row r="129" spans="3:8" x14ac:dyDescent="0.25">
      <c r="C129" s="2" t="str">
        <f t="shared" si="6"/>
        <v/>
      </c>
      <c r="D129" s="2" t="str">
        <f t="shared" si="6"/>
        <v/>
      </c>
      <c r="E129" s="2" t="str">
        <f t="shared" si="7"/>
        <v/>
      </c>
      <c r="F129" s="2" t="str">
        <f t="shared" si="7"/>
        <v/>
      </c>
      <c r="G129" s="2" t="str">
        <f t="shared" si="8"/>
        <v/>
      </c>
      <c r="H129" s="2" t="str">
        <f t="shared" si="9"/>
        <v/>
      </c>
    </row>
    <row r="130" spans="3:8" x14ac:dyDescent="0.25">
      <c r="C130" s="2" t="str">
        <f t="shared" si="6"/>
        <v/>
      </c>
      <c r="D130" s="2" t="str">
        <f t="shared" si="6"/>
        <v/>
      </c>
      <c r="E130" s="2" t="str">
        <f t="shared" si="7"/>
        <v/>
      </c>
      <c r="F130" s="2" t="str">
        <f t="shared" si="7"/>
        <v/>
      </c>
      <c r="G130" s="2" t="str">
        <f t="shared" si="8"/>
        <v/>
      </c>
      <c r="H130" s="2" t="str">
        <f t="shared" si="9"/>
        <v/>
      </c>
    </row>
    <row r="131" spans="3:8" x14ac:dyDescent="0.25">
      <c r="C131" s="2" t="str">
        <f t="shared" ref="C131:D194" si="10">IF(AND($A131&lt;&gt;"",$B131&lt;&gt;""),A131,"")</f>
        <v/>
      </c>
      <c r="D131" s="2" t="str">
        <f t="shared" si="10"/>
        <v/>
      </c>
      <c r="E131" s="2" t="str">
        <f t="shared" ref="E131:F194" si="11">IF(C131="","",_xlfn.RANK.AVG(C131,C$2:C$306,1))</f>
        <v/>
      </c>
      <c r="F131" s="2" t="str">
        <f t="shared" si="11"/>
        <v/>
      </c>
      <c r="G131" s="2" t="str">
        <f t="shared" ref="G131:G194" si="12">IF(C131="","",E131-F131)</f>
        <v/>
      </c>
      <c r="H131" s="2" t="str">
        <f t="shared" ref="H131:H194" si="13">IF(C131="","",G131^2)</f>
        <v/>
      </c>
    </row>
    <row r="132" spans="3:8" x14ac:dyDescent="0.25">
      <c r="C132" s="2" t="str">
        <f t="shared" si="10"/>
        <v/>
      </c>
      <c r="D132" s="2" t="str">
        <f t="shared" si="10"/>
        <v/>
      </c>
      <c r="E132" s="2" t="str">
        <f t="shared" si="11"/>
        <v/>
      </c>
      <c r="F132" s="2" t="str">
        <f t="shared" si="11"/>
        <v/>
      </c>
      <c r="G132" s="2" t="str">
        <f t="shared" si="12"/>
        <v/>
      </c>
      <c r="H132" s="2" t="str">
        <f t="shared" si="13"/>
        <v/>
      </c>
    </row>
    <row r="133" spans="3:8" x14ac:dyDescent="0.25">
      <c r="C133" s="2" t="str">
        <f t="shared" si="10"/>
        <v/>
      </c>
      <c r="D133" s="2" t="str">
        <f t="shared" si="10"/>
        <v/>
      </c>
      <c r="E133" s="2" t="str">
        <f t="shared" si="11"/>
        <v/>
      </c>
      <c r="F133" s="2" t="str">
        <f t="shared" si="11"/>
        <v/>
      </c>
      <c r="G133" s="2" t="str">
        <f t="shared" si="12"/>
        <v/>
      </c>
      <c r="H133" s="2" t="str">
        <f t="shared" si="13"/>
        <v/>
      </c>
    </row>
    <row r="134" spans="3:8" x14ac:dyDescent="0.25">
      <c r="C134" s="2" t="str">
        <f t="shared" si="10"/>
        <v/>
      </c>
      <c r="D134" s="2" t="str">
        <f t="shared" si="10"/>
        <v/>
      </c>
      <c r="E134" s="2" t="str">
        <f t="shared" si="11"/>
        <v/>
      </c>
      <c r="F134" s="2" t="str">
        <f t="shared" si="11"/>
        <v/>
      </c>
      <c r="G134" s="2" t="str">
        <f t="shared" si="12"/>
        <v/>
      </c>
      <c r="H134" s="2" t="str">
        <f t="shared" si="13"/>
        <v/>
      </c>
    </row>
    <row r="135" spans="3:8" x14ac:dyDescent="0.25">
      <c r="C135" s="2" t="str">
        <f t="shared" si="10"/>
        <v/>
      </c>
      <c r="D135" s="2" t="str">
        <f t="shared" si="10"/>
        <v/>
      </c>
      <c r="E135" s="2" t="str">
        <f t="shared" si="11"/>
        <v/>
      </c>
      <c r="F135" s="2" t="str">
        <f t="shared" si="11"/>
        <v/>
      </c>
      <c r="G135" s="2" t="str">
        <f t="shared" si="12"/>
        <v/>
      </c>
      <c r="H135" s="2" t="str">
        <f t="shared" si="13"/>
        <v/>
      </c>
    </row>
    <row r="136" spans="3:8" x14ac:dyDescent="0.25">
      <c r="C136" s="2" t="str">
        <f t="shared" si="10"/>
        <v/>
      </c>
      <c r="D136" s="2" t="str">
        <f t="shared" si="10"/>
        <v/>
      </c>
      <c r="E136" s="2" t="str">
        <f t="shared" si="11"/>
        <v/>
      </c>
      <c r="F136" s="2" t="str">
        <f t="shared" si="11"/>
        <v/>
      </c>
      <c r="G136" s="2" t="str">
        <f t="shared" si="12"/>
        <v/>
      </c>
      <c r="H136" s="2" t="str">
        <f t="shared" si="13"/>
        <v/>
      </c>
    </row>
    <row r="137" spans="3:8" x14ac:dyDescent="0.25">
      <c r="C137" s="2" t="str">
        <f t="shared" si="10"/>
        <v/>
      </c>
      <c r="D137" s="2" t="str">
        <f t="shared" si="10"/>
        <v/>
      </c>
      <c r="E137" s="2" t="str">
        <f t="shared" si="11"/>
        <v/>
      </c>
      <c r="F137" s="2" t="str">
        <f t="shared" si="11"/>
        <v/>
      </c>
      <c r="G137" s="2" t="str">
        <f t="shared" si="12"/>
        <v/>
      </c>
      <c r="H137" s="2" t="str">
        <f t="shared" si="13"/>
        <v/>
      </c>
    </row>
    <row r="138" spans="3:8" x14ac:dyDescent="0.25">
      <c r="C138" s="2" t="str">
        <f t="shared" si="10"/>
        <v/>
      </c>
      <c r="D138" s="2" t="str">
        <f t="shared" si="10"/>
        <v/>
      </c>
      <c r="E138" s="2" t="str">
        <f t="shared" si="11"/>
        <v/>
      </c>
      <c r="F138" s="2" t="str">
        <f t="shared" si="11"/>
        <v/>
      </c>
      <c r="G138" s="2" t="str">
        <f t="shared" si="12"/>
        <v/>
      </c>
      <c r="H138" s="2" t="str">
        <f t="shared" si="13"/>
        <v/>
      </c>
    </row>
    <row r="139" spans="3:8" x14ac:dyDescent="0.25">
      <c r="C139" s="2" t="str">
        <f t="shared" si="10"/>
        <v/>
      </c>
      <c r="D139" s="2" t="str">
        <f t="shared" si="10"/>
        <v/>
      </c>
      <c r="E139" s="2" t="str">
        <f t="shared" si="11"/>
        <v/>
      </c>
      <c r="F139" s="2" t="str">
        <f t="shared" si="11"/>
        <v/>
      </c>
      <c r="G139" s="2" t="str">
        <f t="shared" si="12"/>
        <v/>
      </c>
      <c r="H139" s="2" t="str">
        <f t="shared" si="13"/>
        <v/>
      </c>
    </row>
    <row r="140" spans="3:8" x14ac:dyDescent="0.25">
      <c r="C140" s="2" t="str">
        <f t="shared" si="10"/>
        <v/>
      </c>
      <c r="D140" s="2" t="str">
        <f t="shared" si="10"/>
        <v/>
      </c>
      <c r="E140" s="2" t="str">
        <f t="shared" si="11"/>
        <v/>
      </c>
      <c r="F140" s="2" t="str">
        <f t="shared" si="11"/>
        <v/>
      </c>
      <c r="G140" s="2" t="str">
        <f t="shared" si="12"/>
        <v/>
      </c>
      <c r="H140" s="2" t="str">
        <f t="shared" si="13"/>
        <v/>
      </c>
    </row>
    <row r="141" spans="3:8" x14ac:dyDescent="0.25">
      <c r="C141" s="2" t="str">
        <f t="shared" si="10"/>
        <v/>
      </c>
      <c r="D141" s="2" t="str">
        <f t="shared" si="10"/>
        <v/>
      </c>
      <c r="E141" s="2" t="str">
        <f t="shared" si="11"/>
        <v/>
      </c>
      <c r="F141" s="2" t="str">
        <f t="shared" si="11"/>
        <v/>
      </c>
      <c r="G141" s="2" t="str">
        <f t="shared" si="12"/>
        <v/>
      </c>
      <c r="H141" s="2" t="str">
        <f t="shared" si="13"/>
        <v/>
      </c>
    </row>
    <row r="142" spans="3:8" x14ac:dyDescent="0.25">
      <c r="C142" s="2" t="str">
        <f t="shared" si="10"/>
        <v/>
      </c>
      <c r="D142" s="2" t="str">
        <f t="shared" si="10"/>
        <v/>
      </c>
      <c r="E142" s="2" t="str">
        <f t="shared" si="11"/>
        <v/>
      </c>
      <c r="F142" s="2" t="str">
        <f t="shared" si="11"/>
        <v/>
      </c>
      <c r="G142" s="2" t="str">
        <f t="shared" si="12"/>
        <v/>
      </c>
      <c r="H142" s="2" t="str">
        <f t="shared" si="13"/>
        <v/>
      </c>
    </row>
    <row r="143" spans="3:8" x14ac:dyDescent="0.25">
      <c r="C143" s="2" t="str">
        <f t="shared" si="10"/>
        <v/>
      </c>
      <c r="D143" s="2" t="str">
        <f t="shared" si="10"/>
        <v/>
      </c>
      <c r="E143" s="2" t="str">
        <f t="shared" si="11"/>
        <v/>
      </c>
      <c r="F143" s="2" t="str">
        <f t="shared" si="11"/>
        <v/>
      </c>
      <c r="G143" s="2" t="str">
        <f t="shared" si="12"/>
        <v/>
      </c>
      <c r="H143" s="2" t="str">
        <f t="shared" si="13"/>
        <v/>
      </c>
    </row>
    <row r="144" spans="3:8" x14ac:dyDescent="0.25">
      <c r="C144" s="2" t="str">
        <f t="shared" si="10"/>
        <v/>
      </c>
      <c r="D144" s="2" t="str">
        <f t="shared" si="10"/>
        <v/>
      </c>
      <c r="E144" s="2" t="str">
        <f t="shared" si="11"/>
        <v/>
      </c>
      <c r="F144" s="2" t="str">
        <f t="shared" si="11"/>
        <v/>
      </c>
      <c r="G144" s="2" t="str">
        <f t="shared" si="12"/>
        <v/>
      </c>
      <c r="H144" s="2" t="str">
        <f t="shared" si="13"/>
        <v/>
      </c>
    </row>
    <row r="145" spans="3:8" x14ac:dyDescent="0.25">
      <c r="C145" s="2" t="str">
        <f t="shared" si="10"/>
        <v/>
      </c>
      <c r="D145" s="2" t="str">
        <f t="shared" si="10"/>
        <v/>
      </c>
      <c r="E145" s="2" t="str">
        <f t="shared" si="11"/>
        <v/>
      </c>
      <c r="F145" s="2" t="str">
        <f t="shared" si="11"/>
        <v/>
      </c>
      <c r="G145" s="2" t="str">
        <f t="shared" si="12"/>
        <v/>
      </c>
      <c r="H145" s="2" t="str">
        <f t="shared" si="13"/>
        <v/>
      </c>
    </row>
    <row r="146" spans="3:8" x14ac:dyDescent="0.25">
      <c r="C146" s="2" t="str">
        <f t="shared" si="10"/>
        <v/>
      </c>
      <c r="D146" s="2" t="str">
        <f t="shared" si="10"/>
        <v/>
      </c>
      <c r="E146" s="2" t="str">
        <f t="shared" si="11"/>
        <v/>
      </c>
      <c r="F146" s="2" t="str">
        <f t="shared" si="11"/>
        <v/>
      </c>
      <c r="G146" s="2" t="str">
        <f t="shared" si="12"/>
        <v/>
      </c>
      <c r="H146" s="2" t="str">
        <f t="shared" si="13"/>
        <v/>
      </c>
    </row>
    <row r="147" spans="3:8" x14ac:dyDescent="0.25">
      <c r="C147" s="2" t="str">
        <f t="shared" si="10"/>
        <v/>
      </c>
      <c r="D147" s="2" t="str">
        <f t="shared" si="10"/>
        <v/>
      </c>
      <c r="E147" s="2" t="str">
        <f t="shared" si="11"/>
        <v/>
      </c>
      <c r="F147" s="2" t="str">
        <f t="shared" si="11"/>
        <v/>
      </c>
      <c r="G147" s="2" t="str">
        <f t="shared" si="12"/>
        <v/>
      </c>
      <c r="H147" s="2" t="str">
        <f t="shared" si="13"/>
        <v/>
      </c>
    </row>
    <row r="148" spans="3:8" x14ac:dyDescent="0.25">
      <c r="C148" s="2" t="str">
        <f t="shared" si="10"/>
        <v/>
      </c>
      <c r="D148" s="2" t="str">
        <f t="shared" si="10"/>
        <v/>
      </c>
      <c r="E148" s="2" t="str">
        <f t="shared" si="11"/>
        <v/>
      </c>
      <c r="F148" s="2" t="str">
        <f t="shared" si="11"/>
        <v/>
      </c>
      <c r="G148" s="2" t="str">
        <f t="shared" si="12"/>
        <v/>
      </c>
      <c r="H148" s="2" t="str">
        <f t="shared" si="13"/>
        <v/>
      </c>
    </row>
    <row r="149" spans="3:8" x14ac:dyDescent="0.25">
      <c r="C149" s="2" t="str">
        <f t="shared" si="10"/>
        <v/>
      </c>
      <c r="D149" s="2" t="str">
        <f t="shared" si="10"/>
        <v/>
      </c>
      <c r="E149" s="2" t="str">
        <f t="shared" si="11"/>
        <v/>
      </c>
      <c r="F149" s="2" t="str">
        <f t="shared" si="11"/>
        <v/>
      </c>
      <c r="G149" s="2" t="str">
        <f t="shared" si="12"/>
        <v/>
      </c>
      <c r="H149" s="2" t="str">
        <f t="shared" si="13"/>
        <v/>
      </c>
    </row>
    <row r="150" spans="3:8" x14ac:dyDescent="0.25">
      <c r="C150" s="2" t="str">
        <f t="shared" si="10"/>
        <v/>
      </c>
      <c r="D150" s="2" t="str">
        <f t="shared" si="10"/>
        <v/>
      </c>
      <c r="E150" s="2" t="str">
        <f t="shared" si="11"/>
        <v/>
      </c>
      <c r="F150" s="2" t="str">
        <f t="shared" si="11"/>
        <v/>
      </c>
      <c r="G150" s="2" t="str">
        <f t="shared" si="12"/>
        <v/>
      </c>
      <c r="H150" s="2" t="str">
        <f t="shared" si="13"/>
        <v/>
      </c>
    </row>
    <row r="151" spans="3:8" x14ac:dyDescent="0.25">
      <c r="C151" s="2" t="str">
        <f t="shared" si="10"/>
        <v/>
      </c>
      <c r="D151" s="2" t="str">
        <f t="shared" si="10"/>
        <v/>
      </c>
      <c r="E151" s="2" t="str">
        <f t="shared" si="11"/>
        <v/>
      </c>
      <c r="F151" s="2" t="str">
        <f t="shared" si="11"/>
        <v/>
      </c>
      <c r="G151" s="2" t="str">
        <f t="shared" si="12"/>
        <v/>
      </c>
      <c r="H151" s="2" t="str">
        <f t="shared" si="13"/>
        <v/>
      </c>
    </row>
    <row r="152" spans="3:8" x14ac:dyDescent="0.25">
      <c r="C152" s="2" t="str">
        <f t="shared" si="10"/>
        <v/>
      </c>
      <c r="D152" s="2" t="str">
        <f t="shared" si="10"/>
        <v/>
      </c>
      <c r="E152" s="2" t="str">
        <f t="shared" si="11"/>
        <v/>
      </c>
      <c r="F152" s="2" t="str">
        <f t="shared" si="11"/>
        <v/>
      </c>
      <c r="G152" s="2" t="str">
        <f t="shared" si="12"/>
        <v/>
      </c>
      <c r="H152" s="2" t="str">
        <f t="shared" si="13"/>
        <v/>
      </c>
    </row>
    <row r="153" spans="3:8" x14ac:dyDescent="0.25">
      <c r="C153" s="2" t="str">
        <f t="shared" si="10"/>
        <v/>
      </c>
      <c r="D153" s="2" t="str">
        <f t="shared" si="10"/>
        <v/>
      </c>
      <c r="E153" s="2" t="str">
        <f t="shared" si="11"/>
        <v/>
      </c>
      <c r="F153" s="2" t="str">
        <f t="shared" si="11"/>
        <v/>
      </c>
      <c r="G153" s="2" t="str">
        <f t="shared" si="12"/>
        <v/>
      </c>
      <c r="H153" s="2" t="str">
        <f t="shared" si="13"/>
        <v/>
      </c>
    </row>
    <row r="154" spans="3:8" x14ac:dyDescent="0.25">
      <c r="C154" s="2" t="str">
        <f t="shared" si="10"/>
        <v/>
      </c>
      <c r="D154" s="2" t="str">
        <f t="shared" si="10"/>
        <v/>
      </c>
      <c r="E154" s="2" t="str">
        <f t="shared" si="11"/>
        <v/>
      </c>
      <c r="F154" s="2" t="str">
        <f t="shared" si="11"/>
        <v/>
      </c>
      <c r="G154" s="2" t="str">
        <f t="shared" si="12"/>
        <v/>
      </c>
      <c r="H154" s="2" t="str">
        <f t="shared" si="13"/>
        <v/>
      </c>
    </row>
    <row r="155" spans="3:8" x14ac:dyDescent="0.25">
      <c r="C155" s="2" t="str">
        <f t="shared" si="10"/>
        <v/>
      </c>
      <c r="D155" s="2" t="str">
        <f t="shared" si="10"/>
        <v/>
      </c>
      <c r="E155" s="2" t="str">
        <f t="shared" si="11"/>
        <v/>
      </c>
      <c r="F155" s="2" t="str">
        <f t="shared" si="11"/>
        <v/>
      </c>
      <c r="G155" s="2" t="str">
        <f t="shared" si="12"/>
        <v/>
      </c>
      <c r="H155" s="2" t="str">
        <f t="shared" si="13"/>
        <v/>
      </c>
    </row>
    <row r="156" spans="3:8" x14ac:dyDescent="0.25">
      <c r="C156" s="2" t="str">
        <f t="shared" si="10"/>
        <v/>
      </c>
      <c r="D156" s="2" t="str">
        <f t="shared" si="10"/>
        <v/>
      </c>
      <c r="E156" s="2" t="str">
        <f t="shared" si="11"/>
        <v/>
      </c>
      <c r="F156" s="2" t="str">
        <f t="shared" si="11"/>
        <v/>
      </c>
      <c r="G156" s="2" t="str">
        <f t="shared" si="12"/>
        <v/>
      </c>
      <c r="H156" s="2" t="str">
        <f t="shared" si="13"/>
        <v/>
      </c>
    </row>
    <row r="157" spans="3:8" x14ac:dyDescent="0.25">
      <c r="C157" s="2" t="str">
        <f t="shared" si="10"/>
        <v/>
      </c>
      <c r="D157" s="2" t="str">
        <f t="shared" si="10"/>
        <v/>
      </c>
      <c r="E157" s="2" t="str">
        <f t="shared" si="11"/>
        <v/>
      </c>
      <c r="F157" s="2" t="str">
        <f t="shared" si="11"/>
        <v/>
      </c>
      <c r="G157" s="2" t="str">
        <f t="shared" si="12"/>
        <v/>
      </c>
      <c r="H157" s="2" t="str">
        <f t="shared" si="13"/>
        <v/>
      </c>
    </row>
    <row r="158" spans="3:8" x14ac:dyDescent="0.25">
      <c r="C158" s="2" t="str">
        <f t="shared" si="10"/>
        <v/>
      </c>
      <c r="D158" s="2" t="str">
        <f t="shared" si="10"/>
        <v/>
      </c>
      <c r="E158" s="2" t="str">
        <f t="shared" si="11"/>
        <v/>
      </c>
      <c r="F158" s="2" t="str">
        <f t="shared" si="11"/>
        <v/>
      </c>
      <c r="G158" s="2" t="str">
        <f t="shared" si="12"/>
        <v/>
      </c>
      <c r="H158" s="2" t="str">
        <f t="shared" si="13"/>
        <v/>
      </c>
    </row>
    <row r="159" spans="3:8" x14ac:dyDescent="0.25">
      <c r="C159" s="2" t="str">
        <f t="shared" si="10"/>
        <v/>
      </c>
      <c r="D159" s="2" t="str">
        <f t="shared" si="10"/>
        <v/>
      </c>
      <c r="E159" s="2" t="str">
        <f t="shared" si="11"/>
        <v/>
      </c>
      <c r="F159" s="2" t="str">
        <f t="shared" si="11"/>
        <v/>
      </c>
      <c r="G159" s="2" t="str">
        <f t="shared" si="12"/>
        <v/>
      </c>
      <c r="H159" s="2" t="str">
        <f t="shared" si="13"/>
        <v/>
      </c>
    </row>
    <row r="160" spans="3:8" x14ac:dyDescent="0.25">
      <c r="C160" s="2" t="str">
        <f t="shared" si="10"/>
        <v/>
      </c>
      <c r="D160" s="2" t="str">
        <f t="shared" si="10"/>
        <v/>
      </c>
      <c r="E160" s="2" t="str">
        <f t="shared" si="11"/>
        <v/>
      </c>
      <c r="F160" s="2" t="str">
        <f t="shared" si="11"/>
        <v/>
      </c>
      <c r="G160" s="2" t="str">
        <f t="shared" si="12"/>
        <v/>
      </c>
      <c r="H160" s="2" t="str">
        <f t="shared" si="13"/>
        <v/>
      </c>
    </row>
    <row r="161" spans="3:8" x14ac:dyDescent="0.25">
      <c r="C161" s="2" t="str">
        <f t="shared" si="10"/>
        <v/>
      </c>
      <c r="D161" s="2" t="str">
        <f t="shared" si="10"/>
        <v/>
      </c>
      <c r="E161" s="2" t="str">
        <f t="shared" si="11"/>
        <v/>
      </c>
      <c r="F161" s="2" t="str">
        <f t="shared" si="11"/>
        <v/>
      </c>
      <c r="G161" s="2" t="str">
        <f t="shared" si="12"/>
        <v/>
      </c>
      <c r="H161" s="2" t="str">
        <f t="shared" si="13"/>
        <v/>
      </c>
    </row>
    <row r="162" spans="3:8" x14ac:dyDescent="0.25">
      <c r="C162" s="2" t="str">
        <f t="shared" si="10"/>
        <v/>
      </c>
      <c r="D162" s="2" t="str">
        <f t="shared" si="10"/>
        <v/>
      </c>
      <c r="E162" s="2" t="str">
        <f t="shared" si="11"/>
        <v/>
      </c>
      <c r="F162" s="2" t="str">
        <f t="shared" si="11"/>
        <v/>
      </c>
      <c r="G162" s="2" t="str">
        <f t="shared" si="12"/>
        <v/>
      </c>
      <c r="H162" s="2" t="str">
        <f t="shared" si="13"/>
        <v/>
      </c>
    </row>
    <row r="163" spans="3:8" x14ac:dyDescent="0.25">
      <c r="C163" s="2" t="str">
        <f t="shared" si="10"/>
        <v/>
      </c>
      <c r="D163" s="2" t="str">
        <f t="shared" si="10"/>
        <v/>
      </c>
      <c r="E163" s="2" t="str">
        <f t="shared" si="11"/>
        <v/>
      </c>
      <c r="F163" s="2" t="str">
        <f t="shared" si="11"/>
        <v/>
      </c>
      <c r="G163" s="2" t="str">
        <f t="shared" si="12"/>
        <v/>
      </c>
      <c r="H163" s="2" t="str">
        <f t="shared" si="13"/>
        <v/>
      </c>
    </row>
    <row r="164" spans="3:8" x14ac:dyDescent="0.25">
      <c r="C164" s="2" t="str">
        <f t="shared" si="10"/>
        <v/>
      </c>
      <c r="D164" s="2" t="str">
        <f t="shared" si="10"/>
        <v/>
      </c>
      <c r="E164" s="2" t="str">
        <f t="shared" si="11"/>
        <v/>
      </c>
      <c r="F164" s="2" t="str">
        <f t="shared" si="11"/>
        <v/>
      </c>
      <c r="G164" s="2" t="str">
        <f t="shared" si="12"/>
        <v/>
      </c>
      <c r="H164" s="2" t="str">
        <f t="shared" si="13"/>
        <v/>
      </c>
    </row>
    <row r="165" spans="3:8" x14ac:dyDescent="0.25">
      <c r="C165" s="2" t="str">
        <f t="shared" si="10"/>
        <v/>
      </c>
      <c r="D165" s="2" t="str">
        <f t="shared" si="10"/>
        <v/>
      </c>
      <c r="E165" s="2" t="str">
        <f t="shared" si="11"/>
        <v/>
      </c>
      <c r="F165" s="2" t="str">
        <f t="shared" si="11"/>
        <v/>
      </c>
      <c r="G165" s="2" t="str">
        <f t="shared" si="12"/>
        <v/>
      </c>
      <c r="H165" s="2" t="str">
        <f t="shared" si="13"/>
        <v/>
      </c>
    </row>
    <row r="166" spans="3:8" x14ac:dyDescent="0.25">
      <c r="C166" s="2" t="str">
        <f t="shared" si="10"/>
        <v/>
      </c>
      <c r="D166" s="2" t="str">
        <f t="shared" si="10"/>
        <v/>
      </c>
      <c r="E166" s="2" t="str">
        <f t="shared" si="11"/>
        <v/>
      </c>
      <c r="F166" s="2" t="str">
        <f t="shared" si="11"/>
        <v/>
      </c>
      <c r="G166" s="2" t="str">
        <f t="shared" si="12"/>
        <v/>
      </c>
      <c r="H166" s="2" t="str">
        <f t="shared" si="13"/>
        <v/>
      </c>
    </row>
    <row r="167" spans="3:8" x14ac:dyDescent="0.25">
      <c r="C167" s="2" t="str">
        <f t="shared" si="10"/>
        <v/>
      </c>
      <c r="D167" s="2" t="str">
        <f t="shared" si="10"/>
        <v/>
      </c>
      <c r="E167" s="2" t="str">
        <f t="shared" si="11"/>
        <v/>
      </c>
      <c r="F167" s="2" t="str">
        <f t="shared" si="11"/>
        <v/>
      </c>
      <c r="G167" s="2" t="str">
        <f t="shared" si="12"/>
        <v/>
      </c>
      <c r="H167" s="2" t="str">
        <f t="shared" si="13"/>
        <v/>
      </c>
    </row>
    <row r="168" spans="3:8" x14ac:dyDescent="0.25">
      <c r="C168" s="2" t="str">
        <f t="shared" si="10"/>
        <v/>
      </c>
      <c r="D168" s="2" t="str">
        <f t="shared" si="10"/>
        <v/>
      </c>
      <c r="E168" s="2" t="str">
        <f t="shared" si="11"/>
        <v/>
      </c>
      <c r="F168" s="2" t="str">
        <f t="shared" si="11"/>
        <v/>
      </c>
      <c r="G168" s="2" t="str">
        <f t="shared" si="12"/>
        <v/>
      </c>
      <c r="H168" s="2" t="str">
        <f t="shared" si="13"/>
        <v/>
      </c>
    </row>
    <row r="169" spans="3:8" x14ac:dyDescent="0.25">
      <c r="C169" s="2" t="str">
        <f t="shared" si="10"/>
        <v/>
      </c>
      <c r="D169" s="2" t="str">
        <f t="shared" si="10"/>
        <v/>
      </c>
      <c r="E169" s="2" t="str">
        <f t="shared" si="11"/>
        <v/>
      </c>
      <c r="F169" s="2" t="str">
        <f t="shared" si="11"/>
        <v/>
      </c>
      <c r="G169" s="2" t="str">
        <f t="shared" si="12"/>
        <v/>
      </c>
      <c r="H169" s="2" t="str">
        <f t="shared" si="13"/>
        <v/>
      </c>
    </row>
    <row r="170" spans="3:8" x14ac:dyDescent="0.25">
      <c r="C170" s="2" t="str">
        <f t="shared" si="10"/>
        <v/>
      </c>
      <c r="D170" s="2" t="str">
        <f t="shared" si="10"/>
        <v/>
      </c>
      <c r="E170" s="2" t="str">
        <f t="shared" si="11"/>
        <v/>
      </c>
      <c r="F170" s="2" t="str">
        <f t="shared" si="11"/>
        <v/>
      </c>
      <c r="G170" s="2" t="str">
        <f t="shared" si="12"/>
        <v/>
      </c>
      <c r="H170" s="2" t="str">
        <f t="shared" si="13"/>
        <v/>
      </c>
    </row>
    <row r="171" spans="3:8" x14ac:dyDescent="0.25">
      <c r="C171" s="2" t="str">
        <f t="shared" si="10"/>
        <v/>
      </c>
      <c r="D171" s="2" t="str">
        <f t="shared" si="10"/>
        <v/>
      </c>
      <c r="E171" s="2" t="str">
        <f t="shared" si="11"/>
        <v/>
      </c>
      <c r="F171" s="2" t="str">
        <f t="shared" si="11"/>
        <v/>
      </c>
      <c r="G171" s="2" t="str">
        <f t="shared" si="12"/>
        <v/>
      </c>
      <c r="H171" s="2" t="str">
        <f t="shared" si="13"/>
        <v/>
      </c>
    </row>
    <row r="172" spans="3:8" x14ac:dyDescent="0.25">
      <c r="C172" s="2" t="str">
        <f t="shared" si="10"/>
        <v/>
      </c>
      <c r="D172" s="2" t="str">
        <f t="shared" si="10"/>
        <v/>
      </c>
      <c r="E172" s="2" t="str">
        <f t="shared" si="11"/>
        <v/>
      </c>
      <c r="F172" s="2" t="str">
        <f t="shared" si="11"/>
        <v/>
      </c>
      <c r="G172" s="2" t="str">
        <f t="shared" si="12"/>
        <v/>
      </c>
      <c r="H172" s="2" t="str">
        <f t="shared" si="13"/>
        <v/>
      </c>
    </row>
    <row r="173" spans="3:8" x14ac:dyDescent="0.25">
      <c r="C173" s="2" t="str">
        <f t="shared" si="10"/>
        <v/>
      </c>
      <c r="D173" s="2" t="str">
        <f t="shared" si="10"/>
        <v/>
      </c>
      <c r="E173" s="2" t="str">
        <f t="shared" si="11"/>
        <v/>
      </c>
      <c r="F173" s="2" t="str">
        <f t="shared" si="11"/>
        <v/>
      </c>
      <c r="G173" s="2" t="str">
        <f t="shared" si="12"/>
        <v/>
      </c>
      <c r="H173" s="2" t="str">
        <f t="shared" si="13"/>
        <v/>
      </c>
    </row>
    <row r="174" spans="3:8" x14ac:dyDescent="0.25">
      <c r="C174" s="2" t="str">
        <f t="shared" si="10"/>
        <v/>
      </c>
      <c r="D174" s="2" t="str">
        <f t="shared" si="10"/>
        <v/>
      </c>
      <c r="E174" s="2" t="str">
        <f t="shared" si="11"/>
        <v/>
      </c>
      <c r="F174" s="2" t="str">
        <f t="shared" si="11"/>
        <v/>
      </c>
      <c r="G174" s="2" t="str">
        <f t="shared" si="12"/>
        <v/>
      </c>
      <c r="H174" s="2" t="str">
        <f t="shared" si="13"/>
        <v/>
      </c>
    </row>
    <row r="175" spans="3:8" x14ac:dyDescent="0.25">
      <c r="C175" s="2" t="str">
        <f t="shared" si="10"/>
        <v/>
      </c>
      <c r="D175" s="2" t="str">
        <f t="shared" si="10"/>
        <v/>
      </c>
      <c r="E175" s="2" t="str">
        <f t="shared" si="11"/>
        <v/>
      </c>
      <c r="F175" s="2" t="str">
        <f t="shared" si="11"/>
        <v/>
      </c>
      <c r="G175" s="2" t="str">
        <f t="shared" si="12"/>
        <v/>
      </c>
      <c r="H175" s="2" t="str">
        <f t="shared" si="13"/>
        <v/>
      </c>
    </row>
    <row r="176" spans="3:8" x14ac:dyDescent="0.25">
      <c r="C176" s="2" t="str">
        <f t="shared" si="10"/>
        <v/>
      </c>
      <c r="D176" s="2" t="str">
        <f t="shared" si="10"/>
        <v/>
      </c>
      <c r="E176" s="2" t="str">
        <f t="shared" si="11"/>
        <v/>
      </c>
      <c r="F176" s="2" t="str">
        <f t="shared" si="11"/>
        <v/>
      </c>
      <c r="G176" s="2" t="str">
        <f t="shared" si="12"/>
        <v/>
      </c>
      <c r="H176" s="2" t="str">
        <f t="shared" si="13"/>
        <v/>
      </c>
    </row>
    <row r="177" spans="3:8" x14ac:dyDescent="0.25">
      <c r="C177" s="2" t="str">
        <f t="shared" si="10"/>
        <v/>
      </c>
      <c r="D177" s="2" t="str">
        <f t="shared" si="10"/>
        <v/>
      </c>
      <c r="E177" s="2" t="str">
        <f t="shared" si="11"/>
        <v/>
      </c>
      <c r="F177" s="2" t="str">
        <f t="shared" si="11"/>
        <v/>
      </c>
      <c r="G177" s="2" t="str">
        <f t="shared" si="12"/>
        <v/>
      </c>
      <c r="H177" s="2" t="str">
        <f t="shared" si="13"/>
        <v/>
      </c>
    </row>
    <row r="178" spans="3:8" x14ac:dyDescent="0.25">
      <c r="C178" s="2" t="str">
        <f t="shared" si="10"/>
        <v/>
      </c>
      <c r="D178" s="2" t="str">
        <f t="shared" si="10"/>
        <v/>
      </c>
      <c r="E178" s="2" t="str">
        <f t="shared" si="11"/>
        <v/>
      </c>
      <c r="F178" s="2" t="str">
        <f t="shared" si="11"/>
        <v/>
      </c>
      <c r="G178" s="2" t="str">
        <f t="shared" si="12"/>
        <v/>
      </c>
      <c r="H178" s="2" t="str">
        <f t="shared" si="13"/>
        <v/>
      </c>
    </row>
    <row r="179" spans="3:8" x14ac:dyDescent="0.25">
      <c r="C179" s="2" t="str">
        <f t="shared" si="10"/>
        <v/>
      </c>
      <c r="D179" s="2" t="str">
        <f t="shared" si="10"/>
        <v/>
      </c>
      <c r="E179" s="2" t="str">
        <f t="shared" si="11"/>
        <v/>
      </c>
      <c r="F179" s="2" t="str">
        <f t="shared" si="11"/>
        <v/>
      </c>
      <c r="G179" s="2" t="str">
        <f t="shared" si="12"/>
        <v/>
      </c>
      <c r="H179" s="2" t="str">
        <f t="shared" si="13"/>
        <v/>
      </c>
    </row>
    <row r="180" spans="3:8" x14ac:dyDescent="0.25">
      <c r="C180" s="2" t="str">
        <f t="shared" si="10"/>
        <v/>
      </c>
      <c r="D180" s="2" t="str">
        <f t="shared" si="10"/>
        <v/>
      </c>
      <c r="E180" s="2" t="str">
        <f t="shared" si="11"/>
        <v/>
      </c>
      <c r="F180" s="2" t="str">
        <f t="shared" si="11"/>
        <v/>
      </c>
      <c r="G180" s="2" t="str">
        <f t="shared" si="12"/>
        <v/>
      </c>
      <c r="H180" s="2" t="str">
        <f t="shared" si="13"/>
        <v/>
      </c>
    </row>
    <row r="181" spans="3:8" x14ac:dyDescent="0.25">
      <c r="C181" s="2" t="str">
        <f t="shared" si="10"/>
        <v/>
      </c>
      <c r="D181" s="2" t="str">
        <f t="shared" si="10"/>
        <v/>
      </c>
      <c r="E181" s="2" t="str">
        <f t="shared" si="11"/>
        <v/>
      </c>
      <c r="F181" s="2" t="str">
        <f t="shared" si="11"/>
        <v/>
      </c>
      <c r="G181" s="2" t="str">
        <f t="shared" si="12"/>
        <v/>
      </c>
      <c r="H181" s="2" t="str">
        <f t="shared" si="13"/>
        <v/>
      </c>
    </row>
    <row r="182" spans="3:8" x14ac:dyDescent="0.25">
      <c r="C182" s="2" t="str">
        <f t="shared" si="10"/>
        <v/>
      </c>
      <c r="D182" s="2" t="str">
        <f t="shared" si="10"/>
        <v/>
      </c>
      <c r="E182" s="2" t="str">
        <f t="shared" si="11"/>
        <v/>
      </c>
      <c r="F182" s="2" t="str">
        <f t="shared" si="11"/>
        <v/>
      </c>
      <c r="G182" s="2" t="str">
        <f t="shared" si="12"/>
        <v/>
      </c>
      <c r="H182" s="2" t="str">
        <f t="shared" si="13"/>
        <v/>
      </c>
    </row>
    <row r="183" spans="3:8" x14ac:dyDescent="0.25">
      <c r="C183" s="2" t="str">
        <f t="shared" si="10"/>
        <v/>
      </c>
      <c r="D183" s="2" t="str">
        <f t="shared" si="10"/>
        <v/>
      </c>
      <c r="E183" s="2" t="str">
        <f t="shared" si="11"/>
        <v/>
      </c>
      <c r="F183" s="2" t="str">
        <f t="shared" si="11"/>
        <v/>
      </c>
      <c r="G183" s="2" t="str">
        <f t="shared" si="12"/>
        <v/>
      </c>
      <c r="H183" s="2" t="str">
        <f t="shared" si="13"/>
        <v/>
      </c>
    </row>
    <row r="184" spans="3:8" x14ac:dyDescent="0.25">
      <c r="C184" s="2" t="str">
        <f t="shared" si="10"/>
        <v/>
      </c>
      <c r="D184" s="2" t="str">
        <f t="shared" si="10"/>
        <v/>
      </c>
      <c r="E184" s="2" t="str">
        <f t="shared" si="11"/>
        <v/>
      </c>
      <c r="F184" s="2" t="str">
        <f t="shared" si="11"/>
        <v/>
      </c>
      <c r="G184" s="2" t="str">
        <f t="shared" si="12"/>
        <v/>
      </c>
      <c r="H184" s="2" t="str">
        <f t="shared" si="13"/>
        <v/>
      </c>
    </row>
    <row r="185" spans="3:8" x14ac:dyDescent="0.25">
      <c r="C185" s="2" t="str">
        <f t="shared" si="10"/>
        <v/>
      </c>
      <c r="D185" s="2" t="str">
        <f t="shared" si="10"/>
        <v/>
      </c>
      <c r="E185" s="2" t="str">
        <f t="shared" si="11"/>
        <v/>
      </c>
      <c r="F185" s="2" t="str">
        <f t="shared" si="11"/>
        <v/>
      </c>
      <c r="G185" s="2" t="str">
        <f t="shared" si="12"/>
        <v/>
      </c>
      <c r="H185" s="2" t="str">
        <f t="shared" si="13"/>
        <v/>
      </c>
    </row>
    <row r="186" spans="3:8" x14ac:dyDescent="0.25">
      <c r="C186" s="2" t="str">
        <f t="shared" si="10"/>
        <v/>
      </c>
      <c r="D186" s="2" t="str">
        <f t="shared" si="10"/>
        <v/>
      </c>
      <c r="E186" s="2" t="str">
        <f t="shared" si="11"/>
        <v/>
      </c>
      <c r="F186" s="2" t="str">
        <f t="shared" si="11"/>
        <v/>
      </c>
      <c r="G186" s="2" t="str">
        <f t="shared" si="12"/>
        <v/>
      </c>
      <c r="H186" s="2" t="str">
        <f t="shared" si="13"/>
        <v/>
      </c>
    </row>
    <row r="187" spans="3:8" x14ac:dyDescent="0.25">
      <c r="C187" s="2" t="str">
        <f t="shared" si="10"/>
        <v/>
      </c>
      <c r="D187" s="2" t="str">
        <f t="shared" si="10"/>
        <v/>
      </c>
      <c r="E187" s="2" t="str">
        <f t="shared" si="11"/>
        <v/>
      </c>
      <c r="F187" s="2" t="str">
        <f t="shared" si="11"/>
        <v/>
      </c>
      <c r="G187" s="2" t="str">
        <f t="shared" si="12"/>
        <v/>
      </c>
      <c r="H187" s="2" t="str">
        <f t="shared" si="13"/>
        <v/>
      </c>
    </row>
    <row r="188" spans="3:8" x14ac:dyDescent="0.25">
      <c r="C188" s="2" t="str">
        <f t="shared" si="10"/>
        <v/>
      </c>
      <c r="D188" s="2" t="str">
        <f t="shared" si="10"/>
        <v/>
      </c>
      <c r="E188" s="2" t="str">
        <f t="shared" si="11"/>
        <v/>
      </c>
      <c r="F188" s="2" t="str">
        <f t="shared" si="11"/>
        <v/>
      </c>
      <c r="G188" s="2" t="str">
        <f t="shared" si="12"/>
        <v/>
      </c>
      <c r="H188" s="2" t="str">
        <f t="shared" si="13"/>
        <v/>
      </c>
    </row>
    <row r="189" spans="3:8" x14ac:dyDescent="0.25">
      <c r="C189" s="2" t="str">
        <f t="shared" si="10"/>
        <v/>
      </c>
      <c r="D189" s="2" t="str">
        <f t="shared" si="10"/>
        <v/>
      </c>
      <c r="E189" s="2" t="str">
        <f t="shared" si="11"/>
        <v/>
      </c>
      <c r="F189" s="2" t="str">
        <f t="shared" si="11"/>
        <v/>
      </c>
      <c r="G189" s="2" t="str">
        <f t="shared" si="12"/>
        <v/>
      </c>
      <c r="H189" s="2" t="str">
        <f t="shared" si="13"/>
        <v/>
      </c>
    </row>
    <row r="190" spans="3:8" x14ac:dyDescent="0.25">
      <c r="C190" s="2" t="str">
        <f t="shared" si="10"/>
        <v/>
      </c>
      <c r="D190" s="2" t="str">
        <f t="shared" si="10"/>
        <v/>
      </c>
      <c r="E190" s="2" t="str">
        <f t="shared" si="11"/>
        <v/>
      </c>
      <c r="F190" s="2" t="str">
        <f t="shared" si="11"/>
        <v/>
      </c>
      <c r="G190" s="2" t="str">
        <f t="shared" si="12"/>
        <v/>
      </c>
      <c r="H190" s="2" t="str">
        <f t="shared" si="13"/>
        <v/>
      </c>
    </row>
    <row r="191" spans="3:8" x14ac:dyDescent="0.25">
      <c r="C191" s="2" t="str">
        <f t="shared" si="10"/>
        <v/>
      </c>
      <c r="D191" s="2" t="str">
        <f t="shared" si="10"/>
        <v/>
      </c>
      <c r="E191" s="2" t="str">
        <f t="shared" si="11"/>
        <v/>
      </c>
      <c r="F191" s="2" t="str">
        <f t="shared" si="11"/>
        <v/>
      </c>
      <c r="G191" s="2" t="str">
        <f t="shared" si="12"/>
        <v/>
      </c>
      <c r="H191" s="2" t="str">
        <f t="shared" si="13"/>
        <v/>
      </c>
    </row>
    <row r="192" spans="3:8" x14ac:dyDescent="0.25">
      <c r="C192" s="2" t="str">
        <f t="shared" si="10"/>
        <v/>
      </c>
      <c r="D192" s="2" t="str">
        <f t="shared" si="10"/>
        <v/>
      </c>
      <c r="E192" s="2" t="str">
        <f t="shared" si="11"/>
        <v/>
      </c>
      <c r="F192" s="2" t="str">
        <f t="shared" si="11"/>
        <v/>
      </c>
      <c r="G192" s="2" t="str">
        <f t="shared" si="12"/>
        <v/>
      </c>
      <c r="H192" s="2" t="str">
        <f t="shared" si="13"/>
        <v/>
      </c>
    </row>
    <row r="193" spans="3:8" x14ac:dyDescent="0.25">
      <c r="C193" s="2" t="str">
        <f t="shared" si="10"/>
        <v/>
      </c>
      <c r="D193" s="2" t="str">
        <f t="shared" si="10"/>
        <v/>
      </c>
      <c r="E193" s="2" t="str">
        <f t="shared" si="11"/>
        <v/>
      </c>
      <c r="F193" s="2" t="str">
        <f t="shared" si="11"/>
        <v/>
      </c>
      <c r="G193" s="2" t="str">
        <f t="shared" si="12"/>
        <v/>
      </c>
      <c r="H193" s="2" t="str">
        <f t="shared" si="13"/>
        <v/>
      </c>
    </row>
    <row r="194" spans="3:8" x14ac:dyDescent="0.25">
      <c r="C194" s="2" t="str">
        <f t="shared" si="10"/>
        <v/>
      </c>
      <c r="D194" s="2" t="str">
        <f t="shared" si="10"/>
        <v/>
      </c>
      <c r="E194" s="2" t="str">
        <f t="shared" si="11"/>
        <v/>
      </c>
      <c r="F194" s="2" t="str">
        <f t="shared" si="11"/>
        <v/>
      </c>
      <c r="G194" s="2" t="str">
        <f t="shared" si="12"/>
        <v/>
      </c>
      <c r="H194" s="2" t="str">
        <f t="shared" si="13"/>
        <v/>
      </c>
    </row>
    <row r="195" spans="3:8" x14ac:dyDescent="0.25">
      <c r="C195" s="2" t="str">
        <f t="shared" ref="C195:D258" si="14">IF(AND($A195&lt;&gt;"",$B195&lt;&gt;""),A195,"")</f>
        <v/>
      </c>
      <c r="D195" s="2" t="str">
        <f t="shared" si="14"/>
        <v/>
      </c>
      <c r="E195" s="2" t="str">
        <f t="shared" ref="E195:F258" si="15">IF(C195="","",_xlfn.RANK.AVG(C195,C$2:C$306,1))</f>
        <v/>
      </c>
      <c r="F195" s="2" t="str">
        <f t="shared" si="15"/>
        <v/>
      </c>
      <c r="G195" s="2" t="str">
        <f t="shared" ref="G195:G258" si="16">IF(C195="","",E195-F195)</f>
        <v/>
      </c>
      <c r="H195" s="2" t="str">
        <f t="shared" ref="H195:H258" si="17">IF(C195="","",G195^2)</f>
        <v/>
      </c>
    </row>
    <row r="196" spans="3:8" x14ac:dyDescent="0.25">
      <c r="C196" s="2" t="str">
        <f t="shared" si="14"/>
        <v/>
      </c>
      <c r="D196" s="2" t="str">
        <f t="shared" si="14"/>
        <v/>
      </c>
      <c r="E196" s="2" t="str">
        <f t="shared" si="15"/>
        <v/>
      </c>
      <c r="F196" s="2" t="str">
        <f t="shared" si="15"/>
        <v/>
      </c>
      <c r="G196" s="2" t="str">
        <f t="shared" si="16"/>
        <v/>
      </c>
      <c r="H196" s="2" t="str">
        <f t="shared" si="17"/>
        <v/>
      </c>
    </row>
    <row r="197" spans="3:8" x14ac:dyDescent="0.25">
      <c r="C197" s="2" t="str">
        <f t="shared" si="14"/>
        <v/>
      </c>
      <c r="D197" s="2" t="str">
        <f t="shared" si="14"/>
        <v/>
      </c>
      <c r="E197" s="2" t="str">
        <f t="shared" si="15"/>
        <v/>
      </c>
      <c r="F197" s="2" t="str">
        <f t="shared" si="15"/>
        <v/>
      </c>
      <c r="G197" s="2" t="str">
        <f t="shared" si="16"/>
        <v/>
      </c>
      <c r="H197" s="2" t="str">
        <f t="shared" si="17"/>
        <v/>
      </c>
    </row>
    <row r="198" spans="3:8" x14ac:dyDescent="0.25">
      <c r="C198" s="2" t="str">
        <f t="shared" si="14"/>
        <v/>
      </c>
      <c r="D198" s="2" t="str">
        <f t="shared" si="14"/>
        <v/>
      </c>
      <c r="E198" s="2" t="str">
        <f t="shared" si="15"/>
        <v/>
      </c>
      <c r="F198" s="2" t="str">
        <f t="shared" si="15"/>
        <v/>
      </c>
      <c r="G198" s="2" t="str">
        <f t="shared" si="16"/>
        <v/>
      </c>
      <c r="H198" s="2" t="str">
        <f t="shared" si="17"/>
        <v/>
      </c>
    </row>
    <row r="199" spans="3:8" x14ac:dyDescent="0.25">
      <c r="C199" s="2" t="str">
        <f t="shared" si="14"/>
        <v/>
      </c>
      <c r="D199" s="2" t="str">
        <f t="shared" si="14"/>
        <v/>
      </c>
      <c r="E199" s="2" t="str">
        <f t="shared" si="15"/>
        <v/>
      </c>
      <c r="F199" s="2" t="str">
        <f t="shared" si="15"/>
        <v/>
      </c>
      <c r="G199" s="2" t="str">
        <f t="shared" si="16"/>
        <v/>
      </c>
      <c r="H199" s="2" t="str">
        <f t="shared" si="17"/>
        <v/>
      </c>
    </row>
    <row r="200" spans="3:8" x14ac:dyDescent="0.25">
      <c r="C200" s="2" t="str">
        <f t="shared" si="14"/>
        <v/>
      </c>
      <c r="D200" s="2" t="str">
        <f t="shared" si="14"/>
        <v/>
      </c>
      <c r="E200" s="2" t="str">
        <f t="shared" si="15"/>
        <v/>
      </c>
      <c r="F200" s="2" t="str">
        <f t="shared" si="15"/>
        <v/>
      </c>
      <c r="G200" s="2" t="str">
        <f t="shared" si="16"/>
        <v/>
      </c>
      <c r="H200" s="2" t="str">
        <f t="shared" si="17"/>
        <v/>
      </c>
    </row>
    <row r="201" spans="3:8" x14ac:dyDescent="0.25">
      <c r="C201" s="2" t="str">
        <f t="shared" si="14"/>
        <v/>
      </c>
      <c r="D201" s="2" t="str">
        <f t="shared" si="14"/>
        <v/>
      </c>
      <c r="E201" s="2" t="str">
        <f t="shared" si="15"/>
        <v/>
      </c>
      <c r="F201" s="2" t="str">
        <f t="shared" si="15"/>
        <v/>
      </c>
      <c r="G201" s="2" t="str">
        <f t="shared" si="16"/>
        <v/>
      </c>
      <c r="H201" s="2" t="str">
        <f t="shared" si="17"/>
        <v/>
      </c>
    </row>
    <row r="202" spans="3:8" x14ac:dyDescent="0.25">
      <c r="C202" s="2" t="str">
        <f t="shared" si="14"/>
        <v/>
      </c>
      <c r="D202" s="2" t="str">
        <f t="shared" si="14"/>
        <v/>
      </c>
      <c r="E202" s="2" t="str">
        <f t="shared" si="15"/>
        <v/>
      </c>
      <c r="F202" s="2" t="str">
        <f t="shared" si="15"/>
        <v/>
      </c>
      <c r="G202" s="2" t="str">
        <f t="shared" si="16"/>
        <v/>
      </c>
      <c r="H202" s="2" t="str">
        <f t="shared" si="17"/>
        <v/>
      </c>
    </row>
    <row r="203" spans="3:8" x14ac:dyDescent="0.25">
      <c r="C203" s="2" t="str">
        <f t="shared" si="14"/>
        <v/>
      </c>
      <c r="D203" s="2" t="str">
        <f t="shared" si="14"/>
        <v/>
      </c>
      <c r="E203" s="2" t="str">
        <f t="shared" si="15"/>
        <v/>
      </c>
      <c r="F203" s="2" t="str">
        <f t="shared" si="15"/>
        <v/>
      </c>
      <c r="G203" s="2" t="str">
        <f t="shared" si="16"/>
        <v/>
      </c>
      <c r="H203" s="2" t="str">
        <f t="shared" si="17"/>
        <v/>
      </c>
    </row>
    <row r="204" spans="3:8" x14ac:dyDescent="0.25">
      <c r="C204" s="2" t="str">
        <f t="shared" si="14"/>
        <v/>
      </c>
      <c r="D204" s="2" t="str">
        <f t="shared" si="14"/>
        <v/>
      </c>
      <c r="E204" s="2" t="str">
        <f t="shared" si="15"/>
        <v/>
      </c>
      <c r="F204" s="2" t="str">
        <f t="shared" si="15"/>
        <v/>
      </c>
      <c r="G204" s="2" t="str">
        <f t="shared" si="16"/>
        <v/>
      </c>
      <c r="H204" s="2" t="str">
        <f t="shared" si="17"/>
        <v/>
      </c>
    </row>
    <row r="205" spans="3:8" x14ac:dyDescent="0.25">
      <c r="C205" s="2" t="str">
        <f t="shared" si="14"/>
        <v/>
      </c>
      <c r="D205" s="2" t="str">
        <f t="shared" si="14"/>
        <v/>
      </c>
      <c r="E205" s="2" t="str">
        <f t="shared" si="15"/>
        <v/>
      </c>
      <c r="F205" s="2" t="str">
        <f t="shared" si="15"/>
        <v/>
      </c>
      <c r="G205" s="2" t="str">
        <f t="shared" si="16"/>
        <v/>
      </c>
      <c r="H205" s="2" t="str">
        <f t="shared" si="17"/>
        <v/>
      </c>
    </row>
    <row r="206" spans="3:8" x14ac:dyDescent="0.25">
      <c r="C206" s="2" t="str">
        <f t="shared" si="14"/>
        <v/>
      </c>
      <c r="D206" s="2" t="str">
        <f t="shared" si="14"/>
        <v/>
      </c>
      <c r="E206" s="2" t="str">
        <f t="shared" si="15"/>
        <v/>
      </c>
      <c r="F206" s="2" t="str">
        <f t="shared" si="15"/>
        <v/>
      </c>
      <c r="G206" s="2" t="str">
        <f t="shared" si="16"/>
        <v/>
      </c>
      <c r="H206" s="2" t="str">
        <f t="shared" si="17"/>
        <v/>
      </c>
    </row>
    <row r="207" spans="3:8" x14ac:dyDescent="0.25">
      <c r="C207" s="2" t="str">
        <f t="shared" si="14"/>
        <v/>
      </c>
      <c r="D207" s="2" t="str">
        <f t="shared" si="14"/>
        <v/>
      </c>
      <c r="E207" s="2" t="str">
        <f t="shared" si="15"/>
        <v/>
      </c>
      <c r="F207" s="2" t="str">
        <f t="shared" si="15"/>
        <v/>
      </c>
      <c r="G207" s="2" t="str">
        <f t="shared" si="16"/>
        <v/>
      </c>
      <c r="H207" s="2" t="str">
        <f t="shared" si="17"/>
        <v/>
      </c>
    </row>
    <row r="208" spans="3:8" x14ac:dyDescent="0.25">
      <c r="C208" s="2" t="str">
        <f t="shared" si="14"/>
        <v/>
      </c>
      <c r="D208" s="2" t="str">
        <f t="shared" si="14"/>
        <v/>
      </c>
      <c r="E208" s="2" t="str">
        <f t="shared" si="15"/>
        <v/>
      </c>
      <c r="F208" s="2" t="str">
        <f t="shared" si="15"/>
        <v/>
      </c>
      <c r="G208" s="2" t="str">
        <f t="shared" si="16"/>
        <v/>
      </c>
      <c r="H208" s="2" t="str">
        <f t="shared" si="17"/>
        <v/>
      </c>
    </row>
    <row r="209" spans="3:8" x14ac:dyDescent="0.25">
      <c r="C209" s="2" t="str">
        <f t="shared" si="14"/>
        <v/>
      </c>
      <c r="D209" s="2" t="str">
        <f t="shared" si="14"/>
        <v/>
      </c>
      <c r="E209" s="2" t="str">
        <f t="shared" si="15"/>
        <v/>
      </c>
      <c r="F209" s="2" t="str">
        <f t="shared" si="15"/>
        <v/>
      </c>
      <c r="G209" s="2" t="str">
        <f t="shared" si="16"/>
        <v/>
      </c>
      <c r="H209" s="2" t="str">
        <f t="shared" si="17"/>
        <v/>
      </c>
    </row>
    <row r="210" spans="3:8" x14ac:dyDescent="0.25">
      <c r="C210" s="2" t="str">
        <f t="shared" si="14"/>
        <v/>
      </c>
      <c r="D210" s="2" t="str">
        <f t="shared" si="14"/>
        <v/>
      </c>
      <c r="E210" s="2" t="str">
        <f t="shared" si="15"/>
        <v/>
      </c>
      <c r="F210" s="2" t="str">
        <f t="shared" si="15"/>
        <v/>
      </c>
      <c r="G210" s="2" t="str">
        <f t="shared" si="16"/>
        <v/>
      </c>
      <c r="H210" s="2" t="str">
        <f t="shared" si="17"/>
        <v/>
      </c>
    </row>
    <row r="211" spans="3:8" x14ac:dyDescent="0.25">
      <c r="C211" s="2" t="str">
        <f t="shared" si="14"/>
        <v/>
      </c>
      <c r="D211" s="2" t="str">
        <f t="shared" si="14"/>
        <v/>
      </c>
      <c r="E211" s="2" t="str">
        <f t="shared" si="15"/>
        <v/>
      </c>
      <c r="F211" s="2" t="str">
        <f t="shared" si="15"/>
        <v/>
      </c>
      <c r="G211" s="2" t="str">
        <f t="shared" si="16"/>
        <v/>
      </c>
      <c r="H211" s="2" t="str">
        <f t="shared" si="17"/>
        <v/>
      </c>
    </row>
    <row r="212" spans="3:8" x14ac:dyDescent="0.25">
      <c r="C212" s="2" t="str">
        <f t="shared" si="14"/>
        <v/>
      </c>
      <c r="D212" s="2" t="str">
        <f t="shared" si="14"/>
        <v/>
      </c>
      <c r="E212" s="2" t="str">
        <f t="shared" si="15"/>
        <v/>
      </c>
      <c r="F212" s="2" t="str">
        <f t="shared" si="15"/>
        <v/>
      </c>
      <c r="G212" s="2" t="str">
        <f t="shared" si="16"/>
        <v/>
      </c>
      <c r="H212" s="2" t="str">
        <f t="shared" si="17"/>
        <v/>
      </c>
    </row>
    <row r="213" spans="3:8" x14ac:dyDescent="0.25">
      <c r="C213" s="2" t="str">
        <f t="shared" si="14"/>
        <v/>
      </c>
      <c r="D213" s="2" t="str">
        <f t="shared" si="14"/>
        <v/>
      </c>
      <c r="E213" s="2" t="str">
        <f t="shared" si="15"/>
        <v/>
      </c>
      <c r="F213" s="2" t="str">
        <f t="shared" si="15"/>
        <v/>
      </c>
      <c r="G213" s="2" t="str">
        <f t="shared" si="16"/>
        <v/>
      </c>
      <c r="H213" s="2" t="str">
        <f t="shared" si="17"/>
        <v/>
      </c>
    </row>
    <row r="214" spans="3:8" x14ac:dyDescent="0.25">
      <c r="C214" s="2" t="str">
        <f t="shared" si="14"/>
        <v/>
      </c>
      <c r="D214" s="2" t="str">
        <f t="shared" si="14"/>
        <v/>
      </c>
      <c r="E214" s="2" t="str">
        <f t="shared" si="15"/>
        <v/>
      </c>
      <c r="F214" s="2" t="str">
        <f t="shared" si="15"/>
        <v/>
      </c>
      <c r="G214" s="2" t="str">
        <f t="shared" si="16"/>
        <v/>
      </c>
      <c r="H214" s="2" t="str">
        <f t="shared" si="17"/>
        <v/>
      </c>
    </row>
    <row r="215" spans="3:8" x14ac:dyDescent="0.25">
      <c r="C215" s="2" t="str">
        <f t="shared" si="14"/>
        <v/>
      </c>
      <c r="D215" s="2" t="str">
        <f t="shared" si="14"/>
        <v/>
      </c>
      <c r="E215" s="2" t="str">
        <f t="shared" si="15"/>
        <v/>
      </c>
      <c r="F215" s="2" t="str">
        <f t="shared" si="15"/>
        <v/>
      </c>
      <c r="G215" s="2" t="str">
        <f t="shared" si="16"/>
        <v/>
      </c>
      <c r="H215" s="2" t="str">
        <f t="shared" si="17"/>
        <v/>
      </c>
    </row>
    <row r="216" spans="3:8" x14ac:dyDescent="0.25">
      <c r="C216" s="2" t="str">
        <f t="shared" si="14"/>
        <v/>
      </c>
      <c r="D216" s="2" t="str">
        <f t="shared" si="14"/>
        <v/>
      </c>
      <c r="E216" s="2" t="str">
        <f t="shared" si="15"/>
        <v/>
      </c>
      <c r="F216" s="2" t="str">
        <f t="shared" si="15"/>
        <v/>
      </c>
      <c r="G216" s="2" t="str">
        <f t="shared" si="16"/>
        <v/>
      </c>
      <c r="H216" s="2" t="str">
        <f t="shared" si="17"/>
        <v/>
      </c>
    </row>
    <row r="217" spans="3:8" x14ac:dyDescent="0.25">
      <c r="C217" s="2" t="str">
        <f t="shared" si="14"/>
        <v/>
      </c>
      <c r="D217" s="2" t="str">
        <f t="shared" si="14"/>
        <v/>
      </c>
      <c r="E217" s="2" t="str">
        <f t="shared" si="15"/>
        <v/>
      </c>
      <c r="F217" s="2" t="str">
        <f t="shared" si="15"/>
        <v/>
      </c>
      <c r="G217" s="2" t="str">
        <f t="shared" si="16"/>
        <v/>
      </c>
      <c r="H217" s="2" t="str">
        <f t="shared" si="17"/>
        <v/>
      </c>
    </row>
    <row r="218" spans="3:8" x14ac:dyDescent="0.25">
      <c r="C218" s="2" t="str">
        <f t="shared" si="14"/>
        <v/>
      </c>
      <c r="D218" s="2" t="str">
        <f t="shared" si="14"/>
        <v/>
      </c>
      <c r="E218" s="2" t="str">
        <f t="shared" si="15"/>
        <v/>
      </c>
      <c r="F218" s="2" t="str">
        <f t="shared" si="15"/>
        <v/>
      </c>
      <c r="G218" s="2" t="str">
        <f t="shared" si="16"/>
        <v/>
      </c>
      <c r="H218" s="2" t="str">
        <f t="shared" si="17"/>
        <v/>
      </c>
    </row>
    <row r="219" spans="3:8" x14ac:dyDescent="0.25">
      <c r="C219" s="2" t="str">
        <f t="shared" si="14"/>
        <v/>
      </c>
      <c r="D219" s="2" t="str">
        <f t="shared" si="14"/>
        <v/>
      </c>
      <c r="E219" s="2" t="str">
        <f t="shared" si="15"/>
        <v/>
      </c>
      <c r="F219" s="2" t="str">
        <f t="shared" si="15"/>
        <v/>
      </c>
      <c r="G219" s="2" t="str">
        <f t="shared" si="16"/>
        <v/>
      </c>
      <c r="H219" s="2" t="str">
        <f t="shared" si="17"/>
        <v/>
      </c>
    </row>
    <row r="220" spans="3:8" x14ac:dyDescent="0.25">
      <c r="C220" s="2" t="str">
        <f t="shared" si="14"/>
        <v/>
      </c>
      <c r="D220" s="2" t="str">
        <f t="shared" si="14"/>
        <v/>
      </c>
      <c r="E220" s="2" t="str">
        <f t="shared" si="15"/>
        <v/>
      </c>
      <c r="F220" s="2" t="str">
        <f t="shared" si="15"/>
        <v/>
      </c>
      <c r="G220" s="2" t="str">
        <f t="shared" si="16"/>
        <v/>
      </c>
      <c r="H220" s="2" t="str">
        <f t="shared" si="17"/>
        <v/>
      </c>
    </row>
    <row r="221" spans="3:8" x14ac:dyDescent="0.25">
      <c r="C221" s="2" t="str">
        <f t="shared" si="14"/>
        <v/>
      </c>
      <c r="D221" s="2" t="str">
        <f t="shared" si="14"/>
        <v/>
      </c>
      <c r="E221" s="2" t="str">
        <f t="shared" si="15"/>
        <v/>
      </c>
      <c r="F221" s="2" t="str">
        <f t="shared" si="15"/>
        <v/>
      </c>
      <c r="G221" s="2" t="str">
        <f t="shared" si="16"/>
        <v/>
      </c>
      <c r="H221" s="2" t="str">
        <f t="shared" si="17"/>
        <v/>
      </c>
    </row>
    <row r="222" spans="3:8" x14ac:dyDescent="0.25">
      <c r="C222" s="2" t="str">
        <f t="shared" si="14"/>
        <v/>
      </c>
      <c r="D222" s="2" t="str">
        <f t="shared" si="14"/>
        <v/>
      </c>
      <c r="E222" s="2" t="str">
        <f t="shared" si="15"/>
        <v/>
      </c>
      <c r="F222" s="2" t="str">
        <f t="shared" si="15"/>
        <v/>
      </c>
      <c r="G222" s="2" t="str">
        <f t="shared" si="16"/>
        <v/>
      </c>
      <c r="H222" s="2" t="str">
        <f t="shared" si="17"/>
        <v/>
      </c>
    </row>
    <row r="223" spans="3:8" x14ac:dyDescent="0.25">
      <c r="C223" s="2" t="str">
        <f t="shared" si="14"/>
        <v/>
      </c>
      <c r="D223" s="2" t="str">
        <f t="shared" si="14"/>
        <v/>
      </c>
      <c r="E223" s="2" t="str">
        <f t="shared" si="15"/>
        <v/>
      </c>
      <c r="F223" s="2" t="str">
        <f t="shared" si="15"/>
        <v/>
      </c>
      <c r="G223" s="2" t="str">
        <f t="shared" si="16"/>
        <v/>
      </c>
      <c r="H223" s="2" t="str">
        <f t="shared" si="17"/>
        <v/>
      </c>
    </row>
    <row r="224" spans="3:8" x14ac:dyDescent="0.25">
      <c r="C224" s="2" t="str">
        <f t="shared" si="14"/>
        <v/>
      </c>
      <c r="D224" s="2" t="str">
        <f t="shared" si="14"/>
        <v/>
      </c>
      <c r="E224" s="2" t="str">
        <f t="shared" si="15"/>
        <v/>
      </c>
      <c r="F224" s="2" t="str">
        <f t="shared" si="15"/>
        <v/>
      </c>
      <c r="G224" s="2" t="str">
        <f t="shared" si="16"/>
        <v/>
      </c>
      <c r="H224" s="2" t="str">
        <f t="shared" si="17"/>
        <v/>
      </c>
    </row>
    <row r="225" spans="3:8" x14ac:dyDescent="0.25">
      <c r="C225" s="2" t="str">
        <f t="shared" si="14"/>
        <v/>
      </c>
      <c r="D225" s="2" t="str">
        <f t="shared" si="14"/>
        <v/>
      </c>
      <c r="E225" s="2" t="str">
        <f t="shared" si="15"/>
        <v/>
      </c>
      <c r="F225" s="2" t="str">
        <f t="shared" si="15"/>
        <v/>
      </c>
      <c r="G225" s="2" t="str">
        <f t="shared" si="16"/>
        <v/>
      </c>
      <c r="H225" s="2" t="str">
        <f t="shared" si="17"/>
        <v/>
      </c>
    </row>
    <row r="226" spans="3:8" x14ac:dyDescent="0.25">
      <c r="C226" s="2" t="str">
        <f t="shared" si="14"/>
        <v/>
      </c>
      <c r="D226" s="2" t="str">
        <f t="shared" si="14"/>
        <v/>
      </c>
      <c r="E226" s="2" t="str">
        <f t="shared" si="15"/>
        <v/>
      </c>
      <c r="F226" s="2" t="str">
        <f t="shared" si="15"/>
        <v/>
      </c>
      <c r="G226" s="2" t="str">
        <f t="shared" si="16"/>
        <v/>
      </c>
      <c r="H226" s="2" t="str">
        <f t="shared" si="17"/>
        <v/>
      </c>
    </row>
    <row r="227" spans="3:8" x14ac:dyDescent="0.25">
      <c r="C227" s="2" t="str">
        <f t="shared" si="14"/>
        <v/>
      </c>
      <c r="D227" s="2" t="str">
        <f t="shared" si="14"/>
        <v/>
      </c>
      <c r="E227" s="2" t="str">
        <f t="shared" si="15"/>
        <v/>
      </c>
      <c r="F227" s="2" t="str">
        <f t="shared" si="15"/>
        <v/>
      </c>
      <c r="G227" s="2" t="str">
        <f t="shared" si="16"/>
        <v/>
      </c>
      <c r="H227" s="2" t="str">
        <f t="shared" si="17"/>
        <v/>
      </c>
    </row>
    <row r="228" spans="3:8" x14ac:dyDescent="0.25">
      <c r="C228" s="2" t="str">
        <f t="shared" si="14"/>
        <v/>
      </c>
      <c r="D228" s="2" t="str">
        <f t="shared" si="14"/>
        <v/>
      </c>
      <c r="E228" s="2" t="str">
        <f t="shared" si="15"/>
        <v/>
      </c>
      <c r="F228" s="2" t="str">
        <f t="shared" si="15"/>
        <v/>
      </c>
      <c r="G228" s="2" t="str">
        <f t="shared" si="16"/>
        <v/>
      </c>
      <c r="H228" s="2" t="str">
        <f t="shared" si="17"/>
        <v/>
      </c>
    </row>
    <row r="229" spans="3:8" x14ac:dyDescent="0.25">
      <c r="C229" s="2" t="str">
        <f t="shared" si="14"/>
        <v/>
      </c>
      <c r="D229" s="2" t="str">
        <f t="shared" si="14"/>
        <v/>
      </c>
      <c r="E229" s="2" t="str">
        <f t="shared" si="15"/>
        <v/>
      </c>
      <c r="F229" s="2" t="str">
        <f t="shared" si="15"/>
        <v/>
      </c>
      <c r="G229" s="2" t="str">
        <f t="shared" si="16"/>
        <v/>
      </c>
      <c r="H229" s="2" t="str">
        <f t="shared" si="17"/>
        <v/>
      </c>
    </row>
    <row r="230" spans="3:8" x14ac:dyDescent="0.25">
      <c r="C230" s="2" t="str">
        <f t="shared" si="14"/>
        <v/>
      </c>
      <c r="D230" s="2" t="str">
        <f t="shared" si="14"/>
        <v/>
      </c>
      <c r="E230" s="2" t="str">
        <f t="shared" si="15"/>
        <v/>
      </c>
      <c r="F230" s="2" t="str">
        <f t="shared" si="15"/>
        <v/>
      </c>
      <c r="G230" s="2" t="str">
        <f t="shared" si="16"/>
        <v/>
      </c>
      <c r="H230" s="2" t="str">
        <f t="shared" si="17"/>
        <v/>
      </c>
    </row>
    <row r="231" spans="3:8" x14ac:dyDescent="0.25">
      <c r="C231" s="2" t="str">
        <f t="shared" si="14"/>
        <v/>
      </c>
      <c r="D231" s="2" t="str">
        <f t="shared" si="14"/>
        <v/>
      </c>
      <c r="E231" s="2" t="str">
        <f t="shared" si="15"/>
        <v/>
      </c>
      <c r="F231" s="2" t="str">
        <f t="shared" si="15"/>
        <v/>
      </c>
      <c r="G231" s="2" t="str">
        <f t="shared" si="16"/>
        <v/>
      </c>
      <c r="H231" s="2" t="str">
        <f t="shared" si="17"/>
        <v/>
      </c>
    </row>
    <row r="232" spans="3:8" x14ac:dyDescent="0.25">
      <c r="C232" s="2" t="str">
        <f t="shared" si="14"/>
        <v/>
      </c>
      <c r="D232" s="2" t="str">
        <f t="shared" si="14"/>
        <v/>
      </c>
      <c r="E232" s="2" t="str">
        <f t="shared" si="15"/>
        <v/>
      </c>
      <c r="F232" s="2" t="str">
        <f t="shared" si="15"/>
        <v/>
      </c>
      <c r="G232" s="2" t="str">
        <f t="shared" si="16"/>
        <v/>
      </c>
      <c r="H232" s="2" t="str">
        <f t="shared" si="17"/>
        <v/>
      </c>
    </row>
    <row r="233" spans="3:8" x14ac:dyDescent="0.25">
      <c r="C233" s="2" t="str">
        <f t="shared" si="14"/>
        <v/>
      </c>
      <c r="D233" s="2" t="str">
        <f t="shared" si="14"/>
        <v/>
      </c>
      <c r="E233" s="2" t="str">
        <f t="shared" si="15"/>
        <v/>
      </c>
      <c r="F233" s="2" t="str">
        <f t="shared" si="15"/>
        <v/>
      </c>
      <c r="G233" s="2" t="str">
        <f t="shared" si="16"/>
        <v/>
      </c>
      <c r="H233" s="2" t="str">
        <f t="shared" si="17"/>
        <v/>
      </c>
    </row>
    <row r="234" spans="3:8" x14ac:dyDescent="0.25">
      <c r="C234" s="2" t="str">
        <f t="shared" si="14"/>
        <v/>
      </c>
      <c r="D234" s="2" t="str">
        <f t="shared" si="14"/>
        <v/>
      </c>
      <c r="E234" s="2" t="str">
        <f t="shared" si="15"/>
        <v/>
      </c>
      <c r="F234" s="2" t="str">
        <f t="shared" si="15"/>
        <v/>
      </c>
      <c r="G234" s="2" t="str">
        <f t="shared" si="16"/>
        <v/>
      </c>
      <c r="H234" s="2" t="str">
        <f t="shared" si="17"/>
        <v/>
      </c>
    </row>
    <row r="235" spans="3:8" x14ac:dyDescent="0.25">
      <c r="C235" s="2" t="str">
        <f t="shared" si="14"/>
        <v/>
      </c>
      <c r="D235" s="2" t="str">
        <f t="shared" si="14"/>
        <v/>
      </c>
      <c r="E235" s="2" t="str">
        <f t="shared" si="15"/>
        <v/>
      </c>
      <c r="F235" s="2" t="str">
        <f t="shared" si="15"/>
        <v/>
      </c>
      <c r="G235" s="2" t="str">
        <f t="shared" si="16"/>
        <v/>
      </c>
      <c r="H235" s="2" t="str">
        <f t="shared" si="17"/>
        <v/>
      </c>
    </row>
    <row r="236" spans="3:8" x14ac:dyDescent="0.25">
      <c r="C236" s="2" t="str">
        <f t="shared" si="14"/>
        <v/>
      </c>
      <c r="D236" s="2" t="str">
        <f t="shared" si="14"/>
        <v/>
      </c>
      <c r="E236" s="2" t="str">
        <f t="shared" si="15"/>
        <v/>
      </c>
      <c r="F236" s="2" t="str">
        <f t="shared" si="15"/>
        <v/>
      </c>
      <c r="G236" s="2" t="str">
        <f t="shared" si="16"/>
        <v/>
      </c>
      <c r="H236" s="2" t="str">
        <f t="shared" si="17"/>
        <v/>
      </c>
    </row>
    <row r="237" spans="3:8" x14ac:dyDescent="0.25">
      <c r="C237" s="2" t="str">
        <f t="shared" si="14"/>
        <v/>
      </c>
      <c r="D237" s="2" t="str">
        <f t="shared" si="14"/>
        <v/>
      </c>
      <c r="E237" s="2" t="str">
        <f t="shared" si="15"/>
        <v/>
      </c>
      <c r="F237" s="2" t="str">
        <f t="shared" si="15"/>
        <v/>
      </c>
      <c r="G237" s="2" t="str">
        <f t="shared" si="16"/>
        <v/>
      </c>
      <c r="H237" s="2" t="str">
        <f t="shared" si="17"/>
        <v/>
      </c>
    </row>
    <row r="238" spans="3:8" x14ac:dyDescent="0.25">
      <c r="C238" s="2" t="str">
        <f t="shared" si="14"/>
        <v/>
      </c>
      <c r="D238" s="2" t="str">
        <f t="shared" si="14"/>
        <v/>
      </c>
      <c r="E238" s="2" t="str">
        <f t="shared" si="15"/>
        <v/>
      </c>
      <c r="F238" s="2" t="str">
        <f t="shared" si="15"/>
        <v/>
      </c>
      <c r="G238" s="2" t="str">
        <f t="shared" si="16"/>
        <v/>
      </c>
      <c r="H238" s="2" t="str">
        <f t="shared" si="17"/>
        <v/>
      </c>
    </row>
    <row r="239" spans="3:8" x14ac:dyDescent="0.25">
      <c r="C239" s="2" t="str">
        <f t="shared" si="14"/>
        <v/>
      </c>
      <c r="D239" s="2" t="str">
        <f t="shared" si="14"/>
        <v/>
      </c>
      <c r="E239" s="2" t="str">
        <f t="shared" si="15"/>
        <v/>
      </c>
      <c r="F239" s="2" t="str">
        <f t="shared" si="15"/>
        <v/>
      </c>
      <c r="G239" s="2" t="str">
        <f t="shared" si="16"/>
        <v/>
      </c>
      <c r="H239" s="2" t="str">
        <f t="shared" si="17"/>
        <v/>
      </c>
    </row>
    <row r="240" spans="3:8" x14ac:dyDescent="0.25">
      <c r="C240" s="2" t="str">
        <f t="shared" si="14"/>
        <v/>
      </c>
      <c r="D240" s="2" t="str">
        <f t="shared" si="14"/>
        <v/>
      </c>
      <c r="E240" s="2" t="str">
        <f t="shared" si="15"/>
        <v/>
      </c>
      <c r="F240" s="2" t="str">
        <f t="shared" si="15"/>
        <v/>
      </c>
      <c r="G240" s="2" t="str">
        <f t="shared" si="16"/>
        <v/>
      </c>
      <c r="H240" s="2" t="str">
        <f t="shared" si="17"/>
        <v/>
      </c>
    </row>
    <row r="241" spans="3:8" x14ac:dyDescent="0.25">
      <c r="C241" s="2" t="str">
        <f t="shared" si="14"/>
        <v/>
      </c>
      <c r="D241" s="2" t="str">
        <f t="shared" si="14"/>
        <v/>
      </c>
      <c r="E241" s="2" t="str">
        <f t="shared" si="15"/>
        <v/>
      </c>
      <c r="F241" s="2" t="str">
        <f t="shared" si="15"/>
        <v/>
      </c>
      <c r="G241" s="2" t="str">
        <f t="shared" si="16"/>
        <v/>
      </c>
      <c r="H241" s="2" t="str">
        <f t="shared" si="17"/>
        <v/>
      </c>
    </row>
    <row r="242" spans="3:8" x14ac:dyDescent="0.25">
      <c r="C242" s="2" t="str">
        <f t="shared" si="14"/>
        <v/>
      </c>
      <c r="D242" s="2" t="str">
        <f t="shared" si="14"/>
        <v/>
      </c>
      <c r="E242" s="2" t="str">
        <f t="shared" si="15"/>
        <v/>
      </c>
      <c r="F242" s="2" t="str">
        <f t="shared" si="15"/>
        <v/>
      </c>
      <c r="G242" s="2" t="str">
        <f t="shared" si="16"/>
        <v/>
      </c>
      <c r="H242" s="2" t="str">
        <f t="shared" si="17"/>
        <v/>
      </c>
    </row>
    <row r="243" spans="3:8" x14ac:dyDescent="0.25">
      <c r="C243" s="2" t="str">
        <f t="shared" si="14"/>
        <v/>
      </c>
      <c r="D243" s="2" t="str">
        <f t="shared" si="14"/>
        <v/>
      </c>
      <c r="E243" s="2" t="str">
        <f t="shared" si="15"/>
        <v/>
      </c>
      <c r="F243" s="2" t="str">
        <f t="shared" si="15"/>
        <v/>
      </c>
      <c r="G243" s="2" t="str">
        <f t="shared" si="16"/>
        <v/>
      </c>
      <c r="H243" s="2" t="str">
        <f t="shared" si="17"/>
        <v/>
      </c>
    </row>
    <row r="244" spans="3:8" x14ac:dyDescent="0.25">
      <c r="C244" s="2" t="str">
        <f t="shared" si="14"/>
        <v/>
      </c>
      <c r="D244" s="2" t="str">
        <f t="shared" si="14"/>
        <v/>
      </c>
      <c r="E244" s="2" t="str">
        <f t="shared" si="15"/>
        <v/>
      </c>
      <c r="F244" s="2" t="str">
        <f t="shared" si="15"/>
        <v/>
      </c>
      <c r="G244" s="2" t="str">
        <f t="shared" si="16"/>
        <v/>
      </c>
      <c r="H244" s="2" t="str">
        <f t="shared" si="17"/>
        <v/>
      </c>
    </row>
    <row r="245" spans="3:8" x14ac:dyDescent="0.25">
      <c r="C245" s="2" t="str">
        <f t="shared" si="14"/>
        <v/>
      </c>
      <c r="D245" s="2" t="str">
        <f t="shared" si="14"/>
        <v/>
      </c>
      <c r="E245" s="2" t="str">
        <f t="shared" si="15"/>
        <v/>
      </c>
      <c r="F245" s="2" t="str">
        <f t="shared" si="15"/>
        <v/>
      </c>
      <c r="G245" s="2" t="str">
        <f t="shared" si="16"/>
        <v/>
      </c>
      <c r="H245" s="2" t="str">
        <f t="shared" si="17"/>
        <v/>
      </c>
    </row>
    <row r="246" spans="3:8" x14ac:dyDescent="0.25">
      <c r="C246" s="2" t="str">
        <f t="shared" si="14"/>
        <v/>
      </c>
      <c r="D246" s="2" t="str">
        <f t="shared" si="14"/>
        <v/>
      </c>
      <c r="E246" s="2" t="str">
        <f t="shared" si="15"/>
        <v/>
      </c>
      <c r="F246" s="2" t="str">
        <f t="shared" si="15"/>
        <v/>
      </c>
      <c r="G246" s="2" t="str">
        <f t="shared" si="16"/>
        <v/>
      </c>
      <c r="H246" s="2" t="str">
        <f t="shared" si="17"/>
        <v/>
      </c>
    </row>
    <row r="247" spans="3:8" x14ac:dyDescent="0.25">
      <c r="C247" s="2" t="str">
        <f t="shared" si="14"/>
        <v/>
      </c>
      <c r="D247" s="2" t="str">
        <f t="shared" si="14"/>
        <v/>
      </c>
      <c r="E247" s="2" t="str">
        <f t="shared" si="15"/>
        <v/>
      </c>
      <c r="F247" s="2" t="str">
        <f t="shared" si="15"/>
        <v/>
      </c>
      <c r="G247" s="2" t="str">
        <f t="shared" si="16"/>
        <v/>
      </c>
      <c r="H247" s="2" t="str">
        <f t="shared" si="17"/>
        <v/>
      </c>
    </row>
    <row r="248" spans="3:8" x14ac:dyDescent="0.25">
      <c r="C248" s="2" t="str">
        <f t="shared" si="14"/>
        <v/>
      </c>
      <c r="D248" s="2" t="str">
        <f t="shared" si="14"/>
        <v/>
      </c>
      <c r="E248" s="2" t="str">
        <f t="shared" si="15"/>
        <v/>
      </c>
      <c r="F248" s="2" t="str">
        <f t="shared" si="15"/>
        <v/>
      </c>
      <c r="G248" s="2" t="str">
        <f t="shared" si="16"/>
        <v/>
      </c>
      <c r="H248" s="2" t="str">
        <f t="shared" si="17"/>
        <v/>
      </c>
    </row>
    <row r="249" spans="3:8" x14ac:dyDescent="0.25">
      <c r="C249" s="2" t="str">
        <f t="shared" si="14"/>
        <v/>
      </c>
      <c r="D249" s="2" t="str">
        <f t="shared" si="14"/>
        <v/>
      </c>
      <c r="E249" s="2" t="str">
        <f t="shared" si="15"/>
        <v/>
      </c>
      <c r="F249" s="2" t="str">
        <f t="shared" si="15"/>
        <v/>
      </c>
      <c r="G249" s="2" t="str">
        <f t="shared" si="16"/>
        <v/>
      </c>
      <c r="H249" s="2" t="str">
        <f t="shared" si="17"/>
        <v/>
      </c>
    </row>
    <row r="250" spans="3:8" x14ac:dyDescent="0.25">
      <c r="C250" s="2" t="str">
        <f t="shared" si="14"/>
        <v/>
      </c>
      <c r="D250" s="2" t="str">
        <f t="shared" si="14"/>
        <v/>
      </c>
      <c r="E250" s="2" t="str">
        <f t="shared" si="15"/>
        <v/>
      </c>
      <c r="F250" s="2" t="str">
        <f t="shared" si="15"/>
        <v/>
      </c>
      <c r="G250" s="2" t="str">
        <f t="shared" si="16"/>
        <v/>
      </c>
      <c r="H250" s="2" t="str">
        <f t="shared" si="17"/>
        <v/>
      </c>
    </row>
    <row r="251" spans="3:8" x14ac:dyDescent="0.25">
      <c r="C251" s="2" t="str">
        <f t="shared" si="14"/>
        <v/>
      </c>
      <c r="D251" s="2" t="str">
        <f t="shared" si="14"/>
        <v/>
      </c>
      <c r="E251" s="2" t="str">
        <f t="shared" si="15"/>
        <v/>
      </c>
      <c r="F251" s="2" t="str">
        <f t="shared" si="15"/>
        <v/>
      </c>
      <c r="G251" s="2" t="str">
        <f t="shared" si="16"/>
        <v/>
      </c>
      <c r="H251" s="2" t="str">
        <f t="shared" si="17"/>
        <v/>
      </c>
    </row>
    <row r="252" spans="3:8" x14ac:dyDescent="0.25">
      <c r="C252" s="2" t="str">
        <f t="shared" si="14"/>
        <v/>
      </c>
      <c r="D252" s="2" t="str">
        <f t="shared" si="14"/>
        <v/>
      </c>
      <c r="E252" s="2" t="str">
        <f t="shared" si="15"/>
        <v/>
      </c>
      <c r="F252" s="2" t="str">
        <f t="shared" si="15"/>
        <v/>
      </c>
      <c r="G252" s="2" t="str">
        <f t="shared" si="16"/>
        <v/>
      </c>
      <c r="H252" s="2" t="str">
        <f t="shared" si="17"/>
        <v/>
      </c>
    </row>
    <row r="253" spans="3:8" x14ac:dyDescent="0.25">
      <c r="C253" s="2" t="str">
        <f t="shared" si="14"/>
        <v/>
      </c>
      <c r="D253" s="2" t="str">
        <f t="shared" si="14"/>
        <v/>
      </c>
      <c r="E253" s="2" t="str">
        <f t="shared" si="15"/>
        <v/>
      </c>
      <c r="F253" s="2" t="str">
        <f t="shared" si="15"/>
        <v/>
      </c>
      <c r="G253" s="2" t="str">
        <f t="shared" si="16"/>
        <v/>
      </c>
      <c r="H253" s="2" t="str">
        <f t="shared" si="17"/>
        <v/>
      </c>
    </row>
    <row r="254" spans="3:8" x14ac:dyDescent="0.25">
      <c r="C254" s="2" t="str">
        <f t="shared" si="14"/>
        <v/>
      </c>
      <c r="D254" s="2" t="str">
        <f t="shared" si="14"/>
        <v/>
      </c>
      <c r="E254" s="2" t="str">
        <f t="shared" si="15"/>
        <v/>
      </c>
      <c r="F254" s="2" t="str">
        <f t="shared" si="15"/>
        <v/>
      </c>
      <c r="G254" s="2" t="str">
        <f t="shared" si="16"/>
        <v/>
      </c>
      <c r="H254" s="2" t="str">
        <f t="shared" si="17"/>
        <v/>
      </c>
    </row>
    <row r="255" spans="3:8" x14ac:dyDescent="0.25">
      <c r="C255" s="2" t="str">
        <f t="shared" si="14"/>
        <v/>
      </c>
      <c r="D255" s="2" t="str">
        <f t="shared" si="14"/>
        <v/>
      </c>
      <c r="E255" s="2" t="str">
        <f t="shared" si="15"/>
        <v/>
      </c>
      <c r="F255" s="2" t="str">
        <f t="shared" si="15"/>
        <v/>
      </c>
      <c r="G255" s="2" t="str">
        <f t="shared" si="16"/>
        <v/>
      </c>
      <c r="H255" s="2" t="str">
        <f t="shared" si="17"/>
        <v/>
      </c>
    </row>
    <row r="256" spans="3:8" x14ac:dyDescent="0.25">
      <c r="C256" s="2" t="str">
        <f t="shared" si="14"/>
        <v/>
      </c>
      <c r="D256" s="2" t="str">
        <f t="shared" si="14"/>
        <v/>
      </c>
      <c r="E256" s="2" t="str">
        <f t="shared" si="15"/>
        <v/>
      </c>
      <c r="F256" s="2" t="str">
        <f t="shared" si="15"/>
        <v/>
      </c>
      <c r="G256" s="2" t="str">
        <f t="shared" si="16"/>
        <v/>
      </c>
      <c r="H256" s="2" t="str">
        <f t="shared" si="17"/>
        <v/>
      </c>
    </row>
    <row r="257" spans="3:8" x14ac:dyDescent="0.25">
      <c r="C257" s="2" t="str">
        <f t="shared" si="14"/>
        <v/>
      </c>
      <c r="D257" s="2" t="str">
        <f t="shared" si="14"/>
        <v/>
      </c>
      <c r="E257" s="2" t="str">
        <f t="shared" si="15"/>
        <v/>
      </c>
      <c r="F257" s="2" t="str">
        <f t="shared" si="15"/>
        <v/>
      </c>
      <c r="G257" s="2" t="str">
        <f t="shared" si="16"/>
        <v/>
      </c>
      <c r="H257" s="2" t="str">
        <f t="shared" si="17"/>
        <v/>
      </c>
    </row>
    <row r="258" spans="3:8" x14ac:dyDescent="0.25">
      <c r="C258" s="2" t="str">
        <f t="shared" si="14"/>
        <v/>
      </c>
      <c r="D258" s="2" t="str">
        <f t="shared" si="14"/>
        <v/>
      </c>
      <c r="E258" s="2" t="str">
        <f t="shared" si="15"/>
        <v/>
      </c>
      <c r="F258" s="2" t="str">
        <f t="shared" si="15"/>
        <v/>
      </c>
      <c r="G258" s="2" t="str">
        <f t="shared" si="16"/>
        <v/>
      </c>
      <c r="H258" s="2" t="str">
        <f t="shared" si="17"/>
        <v/>
      </c>
    </row>
    <row r="259" spans="3:8" x14ac:dyDescent="0.25">
      <c r="C259" s="2" t="str">
        <f t="shared" ref="C259:D306" si="18">IF(AND($A259&lt;&gt;"",$B259&lt;&gt;""),A259,"")</f>
        <v/>
      </c>
      <c r="D259" s="2" t="str">
        <f t="shared" si="18"/>
        <v/>
      </c>
      <c r="E259" s="2" t="str">
        <f t="shared" ref="E259:F306" si="19">IF(C259="","",_xlfn.RANK.AVG(C259,C$2:C$306,1))</f>
        <v/>
      </c>
      <c r="F259" s="2" t="str">
        <f t="shared" si="19"/>
        <v/>
      </c>
      <c r="G259" s="2" t="str">
        <f t="shared" ref="G259:G306" si="20">IF(C259="","",E259-F259)</f>
        <v/>
      </c>
      <c r="H259" s="2" t="str">
        <f t="shared" ref="H259:H306" si="21">IF(C259="","",G259^2)</f>
        <v/>
      </c>
    </row>
    <row r="260" spans="3:8" x14ac:dyDescent="0.25">
      <c r="C260" s="2" t="str">
        <f t="shared" si="18"/>
        <v/>
      </c>
      <c r="D260" s="2" t="str">
        <f t="shared" si="18"/>
        <v/>
      </c>
      <c r="E260" s="2" t="str">
        <f t="shared" si="19"/>
        <v/>
      </c>
      <c r="F260" s="2" t="str">
        <f t="shared" si="19"/>
        <v/>
      </c>
      <c r="G260" s="2" t="str">
        <f t="shared" si="20"/>
        <v/>
      </c>
      <c r="H260" s="2" t="str">
        <f t="shared" si="21"/>
        <v/>
      </c>
    </row>
    <row r="261" spans="3:8" x14ac:dyDescent="0.25">
      <c r="C261" s="2" t="str">
        <f t="shared" si="18"/>
        <v/>
      </c>
      <c r="D261" s="2" t="str">
        <f t="shared" si="18"/>
        <v/>
      </c>
      <c r="E261" s="2" t="str">
        <f t="shared" si="19"/>
        <v/>
      </c>
      <c r="F261" s="2" t="str">
        <f t="shared" si="19"/>
        <v/>
      </c>
      <c r="G261" s="2" t="str">
        <f t="shared" si="20"/>
        <v/>
      </c>
      <c r="H261" s="2" t="str">
        <f t="shared" si="21"/>
        <v/>
      </c>
    </row>
    <row r="262" spans="3:8" x14ac:dyDescent="0.25">
      <c r="C262" s="2" t="str">
        <f t="shared" si="18"/>
        <v/>
      </c>
      <c r="D262" s="2" t="str">
        <f t="shared" si="18"/>
        <v/>
      </c>
      <c r="E262" s="2" t="str">
        <f t="shared" si="19"/>
        <v/>
      </c>
      <c r="F262" s="2" t="str">
        <f t="shared" si="19"/>
        <v/>
      </c>
      <c r="G262" s="2" t="str">
        <f t="shared" si="20"/>
        <v/>
      </c>
      <c r="H262" s="2" t="str">
        <f t="shared" si="21"/>
        <v/>
      </c>
    </row>
    <row r="263" spans="3:8" x14ac:dyDescent="0.25">
      <c r="C263" s="2" t="str">
        <f t="shared" si="18"/>
        <v/>
      </c>
      <c r="D263" s="2" t="str">
        <f t="shared" si="18"/>
        <v/>
      </c>
      <c r="E263" s="2" t="str">
        <f t="shared" si="19"/>
        <v/>
      </c>
      <c r="F263" s="2" t="str">
        <f t="shared" si="19"/>
        <v/>
      </c>
      <c r="G263" s="2" t="str">
        <f t="shared" si="20"/>
        <v/>
      </c>
      <c r="H263" s="2" t="str">
        <f t="shared" si="21"/>
        <v/>
      </c>
    </row>
    <row r="264" spans="3:8" x14ac:dyDescent="0.25">
      <c r="C264" s="2" t="str">
        <f t="shared" si="18"/>
        <v/>
      </c>
      <c r="D264" s="2" t="str">
        <f t="shared" si="18"/>
        <v/>
      </c>
      <c r="E264" s="2" t="str">
        <f t="shared" si="19"/>
        <v/>
      </c>
      <c r="F264" s="2" t="str">
        <f t="shared" si="19"/>
        <v/>
      </c>
      <c r="G264" s="2" t="str">
        <f t="shared" si="20"/>
        <v/>
      </c>
      <c r="H264" s="2" t="str">
        <f t="shared" si="21"/>
        <v/>
      </c>
    </row>
    <row r="265" spans="3:8" x14ac:dyDescent="0.25">
      <c r="C265" s="2" t="str">
        <f t="shared" si="18"/>
        <v/>
      </c>
      <c r="D265" s="2" t="str">
        <f t="shared" si="18"/>
        <v/>
      </c>
      <c r="E265" s="2" t="str">
        <f t="shared" si="19"/>
        <v/>
      </c>
      <c r="F265" s="2" t="str">
        <f t="shared" si="19"/>
        <v/>
      </c>
      <c r="G265" s="2" t="str">
        <f t="shared" si="20"/>
        <v/>
      </c>
      <c r="H265" s="2" t="str">
        <f t="shared" si="21"/>
        <v/>
      </c>
    </row>
    <row r="266" spans="3:8" x14ac:dyDescent="0.25">
      <c r="C266" s="2" t="str">
        <f t="shared" si="18"/>
        <v/>
      </c>
      <c r="D266" s="2" t="str">
        <f t="shared" si="18"/>
        <v/>
      </c>
      <c r="E266" s="2" t="str">
        <f t="shared" si="19"/>
        <v/>
      </c>
      <c r="F266" s="2" t="str">
        <f t="shared" si="19"/>
        <v/>
      </c>
      <c r="G266" s="2" t="str">
        <f t="shared" si="20"/>
        <v/>
      </c>
      <c r="H266" s="2" t="str">
        <f t="shared" si="21"/>
        <v/>
      </c>
    </row>
    <row r="267" spans="3:8" x14ac:dyDescent="0.25">
      <c r="C267" s="2" t="str">
        <f t="shared" si="18"/>
        <v/>
      </c>
      <c r="D267" s="2" t="str">
        <f t="shared" si="18"/>
        <v/>
      </c>
      <c r="E267" s="2" t="str">
        <f t="shared" si="19"/>
        <v/>
      </c>
      <c r="F267" s="2" t="str">
        <f t="shared" si="19"/>
        <v/>
      </c>
      <c r="G267" s="2" t="str">
        <f t="shared" si="20"/>
        <v/>
      </c>
      <c r="H267" s="2" t="str">
        <f t="shared" si="21"/>
        <v/>
      </c>
    </row>
    <row r="268" spans="3:8" x14ac:dyDescent="0.25">
      <c r="C268" s="2" t="str">
        <f t="shared" si="18"/>
        <v/>
      </c>
      <c r="D268" s="2" t="str">
        <f t="shared" si="18"/>
        <v/>
      </c>
      <c r="E268" s="2" t="str">
        <f t="shared" si="19"/>
        <v/>
      </c>
      <c r="F268" s="2" t="str">
        <f t="shared" si="19"/>
        <v/>
      </c>
      <c r="G268" s="2" t="str">
        <f t="shared" si="20"/>
        <v/>
      </c>
      <c r="H268" s="2" t="str">
        <f t="shared" si="21"/>
        <v/>
      </c>
    </row>
    <row r="269" spans="3:8" x14ac:dyDescent="0.25">
      <c r="C269" s="2" t="str">
        <f t="shared" si="18"/>
        <v/>
      </c>
      <c r="D269" s="2" t="str">
        <f t="shared" si="18"/>
        <v/>
      </c>
      <c r="E269" s="2" t="str">
        <f t="shared" si="19"/>
        <v/>
      </c>
      <c r="F269" s="2" t="str">
        <f t="shared" si="19"/>
        <v/>
      </c>
      <c r="G269" s="2" t="str">
        <f t="shared" si="20"/>
        <v/>
      </c>
      <c r="H269" s="2" t="str">
        <f t="shared" si="21"/>
        <v/>
      </c>
    </row>
    <row r="270" spans="3:8" x14ac:dyDescent="0.25">
      <c r="C270" s="2" t="str">
        <f t="shared" si="18"/>
        <v/>
      </c>
      <c r="D270" s="2" t="str">
        <f t="shared" si="18"/>
        <v/>
      </c>
      <c r="E270" s="2" t="str">
        <f t="shared" si="19"/>
        <v/>
      </c>
      <c r="F270" s="2" t="str">
        <f t="shared" si="19"/>
        <v/>
      </c>
      <c r="G270" s="2" t="str">
        <f t="shared" si="20"/>
        <v/>
      </c>
      <c r="H270" s="2" t="str">
        <f t="shared" si="21"/>
        <v/>
      </c>
    </row>
    <row r="271" spans="3:8" x14ac:dyDescent="0.25">
      <c r="C271" s="2" t="str">
        <f t="shared" si="18"/>
        <v/>
      </c>
      <c r="D271" s="2" t="str">
        <f t="shared" si="18"/>
        <v/>
      </c>
      <c r="E271" s="2" t="str">
        <f t="shared" si="19"/>
        <v/>
      </c>
      <c r="F271" s="2" t="str">
        <f t="shared" si="19"/>
        <v/>
      </c>
      <c r="G271" s="2" t="str">
        <f t="shared" si="20"/>
        <v/>
      </c>
      <c r="H271" s="2" t="str">
        <f t="shared" si="21"/>
        <v/>
      </c>
    </row>
    <row r="272" spans="3:8" x14ac:dyDescent="0.25">
      <c r="C272" s="2" t="str">
        <f t="shared" si="18"/>
        <v/>
      </c>
      <c r="D272" s="2" t="str">
        <f t="shared" si="18"/>
        <v/>
      </c>
      <c r="E272" s="2" t="str">
        <f t="shared" si="19"/>
        <v/>
      </c>
      <c r="F272" s="2" t="str">
        <f t="shared" si="19"/>
        <v/>
      </c>
      <c r="G272" s="2" t="str">
        <f t="shared" si="20"/>
        <v/>
      </c>
      <c r="H272" s="2" t="str">
        <f t="shared" si="21"/>
        <v/>
      </c>
    </row>
    <row r="273" spans="3:8" x14ac:dyDescent="0.25">
      <c r="C273" s="2" t="str">
        <f t="shared" si="18"/>
        <v/>
      </c>
      <c r="D273" s="2" t="str">
        <f t="shared" si="18"/>
        <v/>
      </c>
      <c r="E273" s="2" t="str">
        <f t="shared" si="19"/>
        <v/>
      </c>
      <c r="F273" s="2" t="str">
        <f t="shared" si="19"/>
        <v/>
      </c>
      <c r="G273" s="2" t="str">
        <f t="shared" si="20"/>
        <v/>
      </c>
      <c r="H273" s="2" t="str">
        <f t="shared" si="21"/>
        <v/>
      </c>
    </row>
    <row r="274" spans="3:8" x14ac:dyDescent="0.25">
      <c r="C274" s="2" t="str">
        <f t="shared" si="18"/>
        <v/>
      </c>
      <c r="D274" s="2" t="str">
        <f t="shared" si="18"/>
        <v/>
      </c>
      <c r="E274" s="2" t="str">
        <f t="shared" si="19"/>
        <v/>
      </c>
      <c r="F274" s="2" t="str">
        <f t="shared" si="19"/>
        <v/>
      </c>
      <c r="G274" s="2" t="str">
        <f t="shared" si="20"/>
        <v/>
      </c>
      <c r="H274" s="2" t="str">
        <f t="shared" si="21"/>
        <v/>
      </c>
    </row>
    <row r="275" spans="3:8" x14ac:dyDescent="0.25">
      <c r="C275" s="2" t="str">
        <f t="shared" si="18"/>
        <v/>
      </c>
      <c r="D275" s="2" t="str">
        <f t="shared" si="18"/>
        <v/>
      </c>
      <c r="E275" s="2" t="str">
        <f t="shared" si="19"/>
        <v/>
      </c>
      <c r="F275" s="2" t="str">
        <f t="shared" si="19"/>
        <v/>
      </c>
      <c r="G275" s="2" t="str">
        <f t="shared" si="20"/>
        <v/>
      </c>
      <c r="H275" s="2" t="str">
        <f t="shared" si="21"/>
        <v/>
      </c>
    </row>
    <row r="276" spans="3:8" x14ac:dyDescent="0.25">
      <c r="C276" s="2" t="str">
        <f t="shared" si="18"/>
        <v/>
      </c>
      <c r="D276" s="2" t="str">
        <f t="shared" si="18"/>
        <v/>
      </c>
      <c r="E276" s="2" t="str">
        <f t="shared" si="19"/>
        <v/>
      </c>
      <c r="F276" s="2" t="str">
        <f t="shared" si="19"/>
        <v/>
      </c>
      <c r="G276" s="2" t="str">
        <f t="shared" si="20"/>
        <v/>
      </c>
      <c r="H276" s="2" t="str">
        <f t="shared" si="21"/>
        <v/>
      </c>
    </row>
    <row r="277" spans="3:8" x14ac:dyDescent="0.25">
      <c r="C277" s="2" t="str">
        <f t="shared" si="18"/>
        <v/>
      </c>
      <c r="D277" s="2" t="str">
        <f t="shared" si="18"/>
        <v/>
      </c>
      <c r="E277" s="2" t="str">
        <f t="shared" si="19"/>
        <v/>
      </c>
      <c r="F277" s="2" t="str">
        <f t="shared" si="19"/>
        <v/>
      </c>
      <c r="G277" s="2" t="str">
        <f t="shared" si="20"/>
        <v/>
      </c>
      <c r="H277" s="2" t="str">
        <f t="shared" si="21"/>
        <v/>
      </c>
    </row>
    <row r="278" spans="3:8" x14ac:dyDescent="0.25">
      <c r="C278" s="2" t="str">
        <f t="shared" si="18"/>
        <v/>
      </c>
      <c r="D278" s="2" t="str">
        <f t="shared" si="18"/>
        <v/>
      </c>
      <c r="E278" s="2" t="str">
        <f t="shared" si="19"/>
        <v/>
      </c>
      <c r="F278" s="2" t="str">
        <f t="shared" si="19"/>
        <v/>
      </c>
      <c r="G278" s="2" t="str">
        <f t="shared" si="20"/>
        <v/>
      </c>
      <c r="H278" s="2" t="str">
        <f t="shared" si="21"/>
        <v/>
      </c>
    </row>
    <row r="279" spans="3:8" x14ac:dyDescent="0.25">
      <c r="C279" s="2" t="str">
        <f t="shared" si="18"/>
        <v/>
      </c>
      <c r="D279" s="2" t="str">
        <f t="shared" si="18"/>
        <v/>
      </c>
      <c r="E279" s="2" t="str">
        <f t="shared" si="19"/>
        <v/>
      </c>
      <c r="F279" s="2" t="str">
        <f t="shared" si="19"/>
        <v/>
      </c>
      <c r="G279" s="2" t="str">
        <f t="shared" si="20"/>
        <v/>
      </c>
      <c r="H279" s="2" t="str">
        <f t="shared" si="21"/>
        <v/>
      </c>
    </row>
    <row r="280" spans="3:8" x14ac:dyDescent="0.25">
      <c r="C280" s="2" t="str">
        <f t="shared" si="18"/>
        <v/>
      </c>
      <c r="D280" s="2" t="str">
        <f t="shared" si="18"/>
        <v/>
      </c>
      <c r="E280" s="2" t="str">
        <f t="shared" si="19"/>
        <v/>
      </c>
      <c r="F280" s="2" t="str">
        <f t="shared" si="19"/>
        <v/>
      </c>
      <c r="G280" s="2" t="str">
        <f t="shared" si="20"/>
        <v/>
      </c>
      <c r="H280" s="2" t="str">
        <f t="shared" si="21"/>
        <v/>
      </c>
    </row>
    <row r="281" spans="3:8" x14ac:dyDescent="0.25">
      <c r="C281" s="2" t="str">
        <f t="shared" si="18"/>
        <v/>
      </c>
      <c r="D281" s="2" t="str">
        <f t="shared" si="18"/>
        <v/>
      </c>
      <c r="E281" s="2" t="str">
        <f t="shared" si="19"/>
        <v/>
      </c>
      <c r="F281" s="2" t="str">
        <f t="shared" si="19"/>
        <v/>
      </c>
      <c r="G281" s="2" t="str">
        <f t="shared" si="20"/>
        <v/>
      </c>
      <c r="H281" s="2" t="str">
        <f t="shared" si="21"/>
        <v/>
      </c>
    </row>
    <row r="282" spans="3:8" x14ac:dyDescent="0.25">
      <c r="C282" s="2" t="str">
        <f t="shared" si="18"/>
        <v/>
      </c>
      <c r="D282" s="2" t="str">
        <f t="shared" si="18"/>
        <v/>
      </c>
      <c r="E282" s="2" t="str">
        <f t="shared" si="19"/>
        <v/>
      </c>
      <c r="F282" s="2" t="str">
        <f t="shared" si="19"/>
        <v/>
      </c>
      <c r="G282" s="2" t="str">
        <f t="shared" si="20"/>
        <v/>
      </c>
      <c r="H282" s="2" t="str">
        <f t="shared" si="21"/>
        <v/>
      </c>
    </row>
    <row r="283" spans="3:8" x14ac:dyDescent="0.25">
      <c r="C283" s="2" t="str">
        <f t="shared" si="18"/>
        <v/>
      </c>
      <c r="D283" s="2" t="str">
        <f t="shared" si="18"/>
        <v/>
      </c>
      <c r="E283" s="2" t="str">
        <f t="shared" si="19"/>
        <v/>
      </c>
      <c r="F283" s="2" t="str">
        <f t="shared" si="19"/>
        <v/>
      </c>
      <c r="G283" s="2" t="str">
        <f t="shared" si="20"/>
        <v/>
      </c>
      <c r="H283" s="2" t="str">
        <f t="shared" si="21"/>
        <v/>
      </c>
    </row>
    <row r="284" spans="3:8" x14ac:dyDescent="0.25">
      <c r="C284" s="2" t="str">
        <f t="shared" si="18"/>
        <v/>
      </c>
      <c r="D284" s="2" t="str">
        <f t="shared" si="18"/>
        <v/>
      </c>
      <c r="E284" s="2" t="str">
        <f t="shared" si="19"/>
        <v/>
      </c>
      <c r="F284" s="2" t="str">
        <f t="shared" si="19"/>
        <v/>
      </c>
      <c r="G284" s="2" t="str">
        <f t="shared" si="20"/>
        <v/>
      </c>
      <c r="H284" s="2" t="str">
        <f t="shared" si="21"/>
        <v/>
      </c>
    </row>
    <row r="285" spans="3:8" x14ac:dyDescent="0.25">
      <c r="C285" s="2" t="str">
        <f t="shared" si="18"/>
        <v/>
      </c>
      <c r="D285" s="2" t="str">
        <f t="shared" si="18"/>
        <v/>
      </c>
      <c r="E285" s="2" t="str">
        <f t="shared" si="19"/>
        <v/>
      </c>
      <c r="F285" s="2" t="str">
        <f t="shared" si="19"/>
        <v/>
      </c>
      <c r="G285" s="2" t="str">
        <f t="shared" si="20"/>
        <v/>
      </c>
      <c r="H285" s="2" t="str">
        <f t="shared" si="21"/>
        <v/>
      </c>
    </row>
    <row r="286" spans="3:8" x14ac:dyDescent="0.25">
      <c r="C286" s="2" t="str">
        <f t="shared" si="18"/>
        <v/>
      </c>
      <c r="D286" s="2" t="str">
        <f t="shared" si="18"/>
        <v/>
      </c>
      <c r="E286" s="2" t="str">
        <f t="shared" si="19"/>
        <v/>
      </c>
      <c r="F286" s="2" t="str">
        <f t="shared" si="19"/>
        <v/>
      </c>
      <c r="G286" s="2" t="str">
        <f t="shared" si="20"/>
        <v/>
      </c>
      <c r="H286" s="2" t="str">
        <f t="shared" si="21"/>
        <v/>
      </c>
    </row>
    <row r="287" spans="3:8" x14ac:dyDescent="0.25">
      <c r="C287" s="2" t="str">
        <f t="shared" si="18"/>
        <v/>
      </c>
      <c r="D287" s="2" t="str">
        <f t="shared" si="18"/>
        <v/>
      </c>
      <c r="E287" s="2" t="str">
        <f t="shared" si="19"/>
        <v/>
      </c>
      <c r="F287" s="2" t="str">
        <f t="shared" si="19"/>
        <v/>
      </c>
      <c r="G287" s="2" t="str">
        <f t="shared" si="20"/>
        <v/>
      </c>
      <c r="H287" s="2" t="str">
        <f t="shared" si="21"/>
        <v/>
      </c>
    </row>
    <row r="288" spans="3:8" x14ac:dyDescent="0.25">
      <c r="C288" s="2" t="str">
        <f t="shared" si="18"/>
        <v/>
      </c>
      <c r="D288" s="2" t="str">
        <f t="shared" si="18"/>
        <v/>
      </c>
      <c r="E288" s="2" t="str">
        <f t="shared" si="19"/>
        <v/>
      </c>
      <c r="F288" s="2" t="str">
        <f t="shared" si="19"/>
        <v/>
      </c>
      <c r="G288" s="2" t="str">
        <f t="shared" si="20"/>
        <v/>
      </c>
      <c r="H288" s="2" t="str">
        <f t="shared" si="21"/>
        <v/>
      </c>
    </row>
    <row r="289" spans="3:8" x14ac:dyDescent="0.25">
      <c r="C289" s="2" t="str">
        <f t="shared" si="18"/>
        <v/>
      </c>
      <c r="D289" s="2" t="str">
        <f t="shared" si="18"/>
        <v/>
      </c>
      <c r="E289" s="2" t="str">
        <f t="shared" si="19"/>
        <v/>
      </c>
      <c r="F289" s="2" t="str">
        <f t="shared" si="19"/>
        <v/>
      </c>
      <c r="G289" s="2" t="str">
        <f t="shared" si="20"/>
        <v/>
      </c>
      <c r="H289" s="2" t="str">
        <f t="shared" si="21"/>
        <v/>
      </c>
    </row>
    <row r="290" spans="3:8" x14ac:dyDescent="0.25">
      <c r="C290" s="2" t="str">
        <f t="shared" si="18"/>
        <v/>
      </c>
      <c r="D290" s="2" t="str">
        <f t="shared" si="18"/>
        <v/>
      </c>
      <c r="E290" s="2" t="str">
        <f t="shared" si="19"/>
        <v/>
      </c>
      <c r="F290" s="2" t="str">
        <f t="shared" si="19"/>
        <v/>
      </c>
      <c r="G290" s="2" t="str">
        <f t="shared" si="20"/>
        <v/>
      </c>
      <c r="H290" s="2" t="str">
        <f t="shared" si="21"/>
        <v/>
      </c>
    </row>
    <row r="291" spans="3:8" x14ac:dyDescent="0.25">
      <c r="C291" s="2" t="str">
        <f t="shared" si="18"/>
        <v/>
      </c>
      <c r="D291" s="2" t="str">
        <f t="shared" si="18"/>
        <v/>
      </c>
      <c r="E291" s="2" t="str">
        <f t="shared" si="19"/>
        <v/>
      </c>
      <c r="F291" s="2" t="str">
        <f t="shared" si="19"/>
        <v/>
      </c>
      <c r="G291" s="2" t="str">
        <f t="shared" si="20"/>
        <v/>
      </c>
      <c r="H291" s="2" t="str">
        <f t="shared" si="21"/>
        <v/>
      </c>
    </row>
    <row r="292" spans="3:8" x14ac:dyDescent="0.25">
      <c r="C292" s="2" t="str">
        <f t="shared" si="18"/>
        <v/>
      </c>
      <c r="D292" s="2" t="str">
        <f t="shared" si="18"/>
        <v/>
      </c>
      <c r="E292" s="2" t="str">
        <f t="shared" si="19"/>
        <v/>
      </c>
      <c r="F292" s="2" t="str">
        <f t="shared" si="19"/>
        <v/>
      </c>
      <c r="G292" s="2" t="str">
        <f t="shared" si="20"/>
        <v/>
      </c>
      <c r="H292" s="2" t="str">
        <f t="shared" si="21"/>
        <v/>
      </c>
    </row>
    <row r="293" spans="3:8" x14ac:dyDescent="0.25">
      <c r="C293" s="2" t="str">
        <f t="shared" si="18"/>
        <v/>
      </c>
      <c r="D293" s="2" t="str">
        <f t="shared" si="18"/>
        <v/>
      </c>
      <c r="E293" s="2" t="str">
        <f t="shared" si="19"/>
        <v/>
      </c>
      <c r="F293" s="2" t="str">
        <f t="shared" si="19"/>
        <v/>
      </c>
      <c r="G293" s="2" t="str">
        <f t="shared" si="20"/>
        <v/>
      </c>
      <c r="H293" s="2" t="str">
        <f t="shared" si="21"/>
        <v/>
      </c>
    </row>
    <row r="294" spans="3:8" x14ac:dyDescent="0.25">
      <c r="C294" s="2" t="str">
        <f t="shared" si="18"/>
        <v/>
      </c>
      <c r="D294" s="2" t="str">
        <f t="shared" si="18"/>
        <v/>
      </c>
      <c r="E294" s="2" t="str">
        <f t="shared" si="19"/>
        <v/>
      </c>
      <c r="F294" s="2" t="str">
        <f t="shared" si="19"/>
        <v/>
      </c>
      <c r="G294" s="2" t="str">
        <f t="shared" si="20"/>
        <v/>
      </c>
      <c r="H294" s="2" t="str">
        <f t="shared" si="21"/>
        <v/>
      </c>
    </row>
    <row r="295" spans="3:8" x14ac:dyDescent="0.25">
      <c r="C295" s="2" t="str">
        <f t="shared" si="18"/>
        <v/>
      </c>
      <c r="D295" s="2" t="str">
        <f t="shared" si="18"/>
        <v/>
      </c>
      <c r="E295" s="2" t="str">
        <f t="shared" si="19"/>
        <v/>
      </c>
      <c r="F295" s="2" t="str">
        <f t="shared" si="19"/>
        <v/>
      </c>
      <c r="G295" s="2" t="str">
        <f t="shared" si="20"/>
        <v/>
      </c>
      <c r="H295" s="2" t="str">
        <f t="shared" si="21"/>
        <v/>
      </c>
    </row>
    <row r="296" spans="3:8" x14ac:dyDescent="0.25">
      <c r="C296" s="2" t="str">
        <f t="shared" si="18"/>
        <v/>
      </c>
      <c r="D296" s="2" t="str">
        <f t="shared" si="18"/>
        <v/>
      </c>
      <c r="E296" s="2" t="str">
        <f t="shared" si="19"/>
        <v/>
      </c>
      <c r="F296" s="2" t="str">
        <f t="shared" si="19"/>
        <v/>
      </c>
      <c r="G296" s="2" t="str">
        <f t="shared" si="20"/>
        <v/>
      </c>
      <c r="H296" s="2" t="str">
        <f t="shared" si="21"/>
        <v/>
      </c>
    </row>
    <row r="297" spans="3:8" x14ac:dyDescent="0.25">
      <c r="C297" s="2" t="str">
        <f t="shared" si="18"/>
        <v/>
      </c>
      <c r="D297" s="2" t="str">
        <f t="shared" si="18"/>
        <v/>
      </c>
      <c r="E297" s="2" t="str">
        <f t="shared" si="19"/>
        <v/>
      </c>
      <c r="F297" s="2" t="str">
        <f t="shared" si="19"/>
        <v/>
      </c>
      <c r="G297" s="2" t="str">
        <f t="shared" si="20"/>
        <v/>
      </c>
      <c r="H297" s="2" t="str">
        <f t="shared" si="21"/>
        <v/>
      </c>
    </row>
    <row r="298" spans="3:8" x14ac:dyDescent="0.25">
      <c r="C298" s="2" t="str">
        <f t="shared" si="18"/>
        <v/>
      </c>
      <c r="D298" s="2" t="str">
        <f t="shared" si="18"/>
        <v/>
      </c>
      <c r="E298" s="2" t="str">
        <f t="shared" si="19"/>
        <v/>
      </c>
      <c r="F298" s="2" t="str">
        <f t="shared" si="19"/>
        <v/>
      </c>
      <c r="G298" s="2" t="str">
        <f t="shared" si="20"/>
        <v/>
      </c>
      <c r="H298" s="2" t="str">
        <f t="shared" si="21"/>
        <v/>
      </c>
    </row>
    <row r="299" spans="3:8" x14ac:dyDescent="0.25">
      <c r="C299" s="2" t="str">
        <f t="shared" si="18"/>
        <v/>
      </c>
      <c r="D299" s="2" t="str">
        <f t="shared" si="18"/>
        <v/>
      </c>
      <c r="E299" s="2" t="str">
        <f t="shared" si="19"/>
        <v/>
      </c>
      <c r="F299" s="2" t="str">
        <f t="shared" si="19"/>
        <v/>
      </c>
      <c r="G299" s="2" t="str">
        <f t="shared" si="20"/>
        <v/>
      </c>
      <c r="H299" s="2" t="str">
        <f t="shared" si="21"/>
        <v/>
      </c>
    </row>
    <row r="300" spans="3:8" x14ac:dyDescent="0.25">
      <c r="C300" s="2" t="str">
        <f t="shared" si="18"/>
        <v/>
      </c>
      <c r="D300" s="2" t="str">
        <f t="shared" si="18"/>
        <v/>
      </c>
      <c r="E300" s="2" t="str">
        <f t="shared" si="19"/>
        <v/>
      </c>
      <c r="F300" s="2" t="str">
        <f t="shared" si="19"/>
        <v/>
      </c>
      <c r="G300" s="2" t="str">
        <f t="shared" si="20"/>
        <v/>
      </c>
      <c r="H300" s="2" t="str">
        <f t="shared" si="21"/>
        <v/>
      </c>
    </row>
    <row r="301" spans="3:8" x14ac:dyDescent="0.25">
      <c r="C301" s="2" t="str">
        <f t="shared" si="18"/>
        <v/>
      </c>
      <c r="D301" s="2" t="str">
        <f t="shared" si="18"/>
        <v/>
      </c>
      <c r="E301" s="2" t="str">
        <f t="shared" si="19"/>
        <v/>
      </c>
      <c r="F301" s="2" t="str">
        <f t="shared" si="19"/>
        <v/>
      </c>
      <c r="G301" s="2" t="str">
        <f t="shared" si="20"/>
        <v/>
      </c>
      <c r="H301" s="2" t="str">
        <f t="shared" si="21"/>
        <v/>
      </c>
    </row>
    <row r="302" spans="3:8" x14ac:dyDescent="0.25">
      <c r="C302" s="2" t="str">
        <f t="shared" si="18"/>
        <v/>
      </c>
      <c r="D302" s="2" t="str">
        <f t="shared" si="18"/>
        <v/>
      </c>
      <c r="E302" s="2" t="str">
        <f t="shared" si="19"/>
        <v/>
      </c>
      <c r="F302" s="2" t="str">
        <f t="shared" si="19"/>
        <v/>
      </c>
      <c r="G302" s="2" t="str">
        <f t="shared" si="20"/>
        <v/>
      </c>
      <c r="H302" s="2" t="str">
        <f t="shared" si="21"/>
        <v/>
      </c>
    </row>
    <row r="303" spans="3:8" x14ac:dyDescent="0.25">
      <c r="C303" s="2" t="str">
        <f t="shared" si="18"/>
        <v/>
      </c>
      <c r="D303" s="2" t="str">
        <f t="shared" si="18"/>
        <v/>
      </c>
      <c r="E303" s="2" t="str">
        <f t="shared" si="19"/>
        <v/>
      </c>
      <c r="F303" s="2" t="str">
        <f t="shared" si="19"/>
        <v/>
      </c>
      <c r="G303" s="2" t="str">
        <f t="shared" si="20"/>
        <v/>
      </c>
      <c r="H303" s="2" t="str">
        <f t="shared" si="21"/>
        <v/>
      </c>
    </row>
    <row r="304" spans="3:8" x14ac:dyDescent="0.25">
      <c r="C304" s="2" t="str">
        <f t="shared" si="18"/>
        <v/>
      </c>
      <c r="D304" s="2" t="str">
        <f t="shared" si="18"/>
        <v/>
      </c>
      <c r="E304" s="2" t="str">
        <f t="shared" si="19"/>
        <v/>
      </c>
      <c r="F304" s="2" t="str">
        <f t="shared" si="19"/>
        <v/>
      </c>
      <c r="G304" s="2" t="str">
        <f t="shared" si="20"/>
        <v/>
      </c>
      <c r="H304" s="2" t="str">
        <f t="shared" si="21"/>
        <v/>
      </c>
    </row>
    <row r="305" spans="3:8" x14ac:dyDescent="0.25">
      <c r="C305" s="2" t="str">
        <f t="shared" si="18"/>
        <v/>
      </c>
      <c r="D305" s="2" t="str">
        <f t="shared" si="18"/>
        <v/>
      </c>
      <c r="E305" s="2" t="str">
        <f t="shared" si="19"/>
        <v/>
      </c>
      <c r="F305" s="2" t="str">
        <f t="shared" si="19"/>
        <v/>
      </c>
      <c r="G305" s="2" t="str">
        <f t="shared" si="20"/>
        <v/>
      </c>
      <c r="H305" s="2" t="str">
        <f t="shared" si="21"/>
        <v/>
      </c>
    </row>
    <row r="306" spans="3:8" x14ac:dyDescent="0.25">
      <c r="C306" s="2" t="str">
        <f t="shared" si="18"/>
        <v/>
      </c>
      <c r="D306" s="2" t="str">
        <f t="shared" si="18"/>
        <v/>
      </c>
      <c r="E306" s="2" t="str">
        <f t="shared" si="19"/>
        <v/>
      </c>
      <c r="F306" s="2" t="str">
        <f t="shared" si="19"/>
        <v/>
      </c>
      <c r="G306" s="2" t="str">
        <f t="shared" si="20"/>
        <v/>
      </c>
      <c r="H306" s="2" t="str">
        <f t="shared" si="21"/>
        <v/>
      </c>
    </row>
  </sheetData>
  <pageMargins left="0.7" right="0.7" top="0.75" bottom="0.75" header="0.3" footer="0.3"/>
  <pageSetup paperSize="0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SpearmanRho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 Stikker</dc:creator>
  <cp:lastModifiedBy>Tanya Sharma</cp:lastModifiedBy>
  <dcterms:created xsi:type="dcterms:W3CDTF">2017-04-25T06:43:44Z</dcterms:created>
  <dcterms:modified xsi:type="dcterms:W3CDTF">2019-04-13T06:12:44Z</dcterms:modified>
</cp:coreProperties>
</file>